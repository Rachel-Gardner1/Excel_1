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Music\Excel Data for Analysis\"/>
    </mc:Choice>
  </mc:AlternateContent>
  <xr:revisionPtr revIDLastSave="0" documentId="8_{44D49132-7A19-41FC-865F-7029969D610F}" xr6:coauthVersionLast="47" xr6:coauthVersionMax="47" xr10:uidLastSave="{00000000-0000-0000-0000-000000000000}"/>
  <bookViews>
    <workbookView xWindow="-108" yWindow="-108" windowWidth="23256" windowHeight="12456" xr2:uid="{A31F09EB-BC4A-4E28-AFD6-656B84808B88}"/>
  </bookViews>
  <sheets>
    <sheet name="Inventory Records Data" sheetId="2" r:id="rId1"/>
    <sheet name="Missing Inventory to Their Cost" sheetId="4" r:id="rId2"/>
    <sheet name="Top v Bottom 10 Product Sales" sheetId="5" r:id="rId3"/>
    <sheet name="Basic Sales Calculations" sheetId="6" r:id="rId4"/>
    <sheet name="Unit Sales" sheetId="7" r:id="rId5"/>
  </sheets>
  <calcPr calcId="191028"/>
  <pivotCaches>
    <pivotCache cacheId="74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" l="1"/>
  <c r="J7" i="2"/>
  <c r="L7" i="2"/>
  <c r="M7" i="2"/>
  <c r="I3" i="6"/>
  <c r="L41" i="6"/>
  <c r="M49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M48" i="6"/>
  <c r="G53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7" i="2"/>
  <c r="I49" i="6" l="1"/>
  <c r="L52" i="2"/>
  <c r="I52" i="2"/>
  <c r="J52" i="2" s="1"/>
  <c r="L51" i="2"/>
  <c r="I51" i="2"/>
  <c r="J51" i="2" s="1"/>
  <c r="L50" i="2"/>
  <c r="I50" i="2"/>
  <c r="J50" i="2" s="1"/>
  <c r="L49" i="2"/>
  <c r="I49" i="2"/>
  <c r="J49" i="2" s="1"/>
  <c r="L48" i="2"/>
  <c r="I48" i="2"/>
  <c r="J48" i="2" s="1"/>
  <c r="L47" i="2"/>
  <c r="I47" i="2"/>
  <c r="J47" i="2" s="1"/>
  <c r="L46" i="2"/>
  <c r="I46" i="2"/>
  <c r="J46" i="2" s="1"/>
  <c r="L45" i="2"/>
  <c r="I45" i="2"/>
  <c r="J45" i="2" s="1"/>
  <c r="L44" i="2"/>
  <c r="I44" i="2"/>
  <c r="J44" i="2" s="1"/>
  <c r="L43" i="2"/>
  <c r="I43" i="2"/>
  <c r="J43" i="2" s="1"/>
  <c r="L42" i="2"/>
  <c r="I42" i="2"/>
  <c r="J42" i="2" s="1"/>
  <c r="L41" i="2"/>
  <c r="I41" i="2"/>
  <c r="J41" i="2" s="1"/>
  <c r="L40" i="2"/>
  <c r="I40" i="2"/>
  <c r="J40" i="2" s="1"/>
  <c r="L39" i="2"/>
  <c r="I39" i="2"/>
  <c r="J39" i="2" s="1"/>
  <c r="L38" i="2"/>
  <c r="I38" i="2"/>
  <c r="J38" i="2" s="1"/>
  <c r="L37" i="2"/>
  <c r="I37" i="2"/>
  <c r="J37" i="2" s="1"/>
  <c r="L36" i="2"/>
  <c r="I36" i="2"/>
  <c r="J36" i="2" s="1"/>
  <c r="L35" i="2"/>
  <c r="I35" i="2"/>
  <c r="J35" i="2" s="1"/>
  <c r="L34" i="2"/>
  <c r="I34" i="2"/>
  <c r="J34" i="2" s="1"/>
  <c r="L33" i="2"/>
  <c r="I33" i="2"/>
  <c r="J33" i="2" s="1"/>
  <c r="L32" i="2"/>
  <c r="I32" i="2"/>
  <c r="J32" i="2" s="1"/>
  <c r="L31" i="2"/>
  <c r="I31" i="2"/>
  <c r="J31" i="2" s="1"/>
  <c r="L30" i="2"/>
  <c r="I30" i="2"/>
  <c r="J30" i="2" s="1"/>
  <c r="L29" i="2"/>
  <c r="I29" i="2"/>
  <c r="J29" i="2" s="1"/>
  <c r="L28" i="2"/>
  <c r="I28" i="2"/>
  <c r="J28" i="2" s="1"/>
  <c r="L27" i="2"/>
  <c r="I27" i="2"/>
  <c r="J27" i="2" s="1"/>
  <c r="L26" i="2"/>
  <c r="I26" i="2"/>
  <c r="J26" i="2" s="1"/>
  <c r="L25" i="2"/>
  <c r="I25" i="2"/>
  <c r="J25" i="2" s="1"/>
  <c r="L24" i="2"/>
  <c r="I24" i="2"/>
  <c r="J24" i="2" s="1"/>
  <c r="L23" i="2"/>
  <c r="I23" i="2"/>
  <c r="J23" i="2" s="1"/>
  <c r="L22" i="2"/>
  <c r="I22" i="2"/>
  <c r="J22" i="2" s="1"/>
  <c r="L21" i="2"/>
  <c r="I21" i="2"/>
  <c r="J21" i="2" s="1"/>
  <c r="L20" i="2"/>
  <c r="I20" i="2"/>
  <c r="J20" i="2" s="1"/>
  <c r="L19" i="2"/>
  <c r="I19" i="2"/>
  <c r="J19" i="2" s="1"/>
  <c r="L18" i="2"/>
  <c r="I18" i="2"/>
  <c r="J18" i="2" s="1"/>
  <c r="L17" i="2"/>
  <c r="I17" i="2"/>
  <c r="J17" i="2" s="1"/>
  <c r="L16" i="2"/>
  <c r="I16" i="2"/>
  <c r="J16" i="2" s="1"/>
  <c r="L15" i="2"/>
  <c r="I15" i="2"/>
  <c r="J15" i="2" s="1"/>
  <c r="L14" i="2"/>
  <c r="I14" i="2"/>
  <c r="J14" i="2" s="1"/>
  <c r="L13" i="2"/>
  <c r="I13" i="2"/>
  <c r="J13" i="2" s="1"/>
  <c r="L12" i="2"/>
  <c r="I12" i="2"/>
  <c r="J12" i="2" s="1"/>
  <c r="L11" i="2"/>
  <c r="I11" i="2"/>
  <c r="J11" i="2" s="1"/>
  <c r="L10" i="2"/>
  <c r="I10" i="2"/>
  <c r="J10" i="2" s="1"/>
  <c r="L9" i="2"/>
  <c r="I9" i="2"/>
  <c r="J9" i="2" s="1"/>
  <c r="L8" i="2"/>
  <c r="I8" i="2"/>
  <c r="J8" i="2" s="1"/>
  <c r="M45" i="6" l="1"/>
  <c r="M41" i="6"/>
  <c r="M44" i="6" l="1"/>
  <c r="L44" i="6"/>
</calcChain>
</file>

<file path=xl/sharedStrings.xml><?xml version="1.0" encoding="utf-8"?>
<sst xmlns="http://schemas.openxmlformats.org/spreadsheetml/2006/main" count="268" uniqueCount="130">
  <si>
    <t>Excel Sample Data</t>
  </si>
  <si>
    <t>Inventory Records Data</t>
  </si>
  <si>
    <t>Product ID</t>
  </si>
  <si>
    <t>Product Name</t>
  </si>
  <si>
    <t>Opening 
Stock</t>
  </si>
  <si>
    <t>Purchase/
Stock in</t>
  </si>
  <si>
    <t>Units On Hand</t>
  </si>
  <si>
    <t>Number of 
Units Sold</t>
  </si>
  <si>
    <t>Hand-In-
Stock</t>
  </si>
  <si>
    <t>Correct Sales to Stock-In-Hand Depletion?</t>
  </si>
  <si>
    <t>Missing Inventory?</t>
  </si>
  <si>
    <t>Cost Price 
Per Unit (USD)</t>
  </si>
  <si>
    <t>Cost Price Total (USD)</t>
  </si>
  <si>
    <t>Revenue (USD)</t>
  </si>
  <si>
    <t>P101</t>
  </si>
  <si>
    <t>Laptop</t>
  </si>
  <si>
    <t>Questions</t>
  </si>
  <si>
    <t>P102</t>
  </si>
  <si>
    <t>Monitor</t>
  </si>
  <si>
    <t>Is there missing inventory and how much do those products individually cost?</t>
  </si>
  <si>
    <t>P103</t>
  </si>
  <si>
    <t>Keyboard</t>
  </si>
  <si>
    <t>What are the top 10 and bottom 10 product sales?</t>
  </si>
  <si>
    <t>P104</t>
  </si>
  <si>
    <t>Headphones</t>
  </si>
  <si>
    <t>How much revenue is needed to break-even and make a profit?</t>
  </si>
  <si>
    <t>P105</t>
  </si>
  <si>
    <t>Smartphone</t>
  </si>
  <si>
    <t>What are the unit sales compared to the number of units at the beginning of the day/week and end of the day/week?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</si>
  <si>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</si>
  <si>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</si>
  <si>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</si>
  <si>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</si>
  <si>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</si>
  <si>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</si>
  <si>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</si>
  <si>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</si>
  <si>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</si>
  <si>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</si>
  <si>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</si>
  <si>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</si>
  <si>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</si>
  <si>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</si>
  <si>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</si>
  <si>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</si>
  <si>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</si>
  <si>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</si>
  <si>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</si>
  <si>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</si>
  <si>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</si>
  <si>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</si>
  <si>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</si>
  <si>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</si>
  <si>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</si>
  <si>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</si>
  <si>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</si>
  <si>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</si>
  <si>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</si>
  <si>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</si>
  <si>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</si>
  <si>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</si>
  <si>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</si>
  <si>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</si>
  <si>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</si>
  <si>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</si>
  <si>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</si>
  <si>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</si>
  <si>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</si>
  <si>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</si>
  <si>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</si>
  <si>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</si>
  <si>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</si>
  <si>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</si>
  <si>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</si>
  <si>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</si>
  <si>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</si>
  <si>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</si>
  <si>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</si>
  <si>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</si>
  <si>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</si>
  <si>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</si>
  <si>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</si>
  <si>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</si>
  <si>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</si>
  <si>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</si>
  <si>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</si>
  <si>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</si>
  <si>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</si>
  <si>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</si>
  <si>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</si>
  <si>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</si>
  <si>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</si>
  <si>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</si>
  <si>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</si>
  <si>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</si>
  <si>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</si>
  <si>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</si>
  <si>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</si>
  <si>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</si>
  <si>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</si>
  <si>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</si>
  <si>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</si>
  <si>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</si>
  <si>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</si>
  <si>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</si>
  <si>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</si>
  <si>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</si>
  <si>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</si>
  <si>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</si>
  <si>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</si>
  <si>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</si>
  <si>
    <t>(Multiple Items)</t>
  </si>
  <si>
    <t>Sum of Missing Inventory (Total Units)?</t>
  </si>
  <si>
    <t>Sum of Cost Price 
Per Unit (USD)</t>
  </si>
  <si>
    <t>Sum of Revenue (USD)</t>
  </si>
  <si>
    <t>Grand Total</t>
  </si>
  <si>
    <t>Sum of Number of 
Units Sold</t>
  </si>
  <si>
    <t>Sum of Opening 
Stock</t>
  </si>
  <si>
    <t>Sum of Units On Hand</t>
  </si>
  <si>
    <t>Sum of Cost Price
 Total (USD)</t>
  </si>
  <si>
    <t>x25%</t>
  </si>
  <si>
    <t>Break-Even</t>
  </si>
  <si>
    <t>Profit</t>
  </si>
  <si>
    <t>Sales Target:</t>
  </si>
  <si>
    <t>Profit Goal</t>
  </si>
  <si>
    <t>Percentage</t>
  </si>
  <si>
    <t>Revenue Total</t>
  </si>
  <si>
    <t>:</t>
  </si>
  <si>
    <t>Break-Even Goal</t>
  </si>
  <si>
    <t>Sum of Hand-In-
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</si>
</sst>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_ ;_-[$$-409]* \-#,##0\ ;_-[$$-409]* &quot;-&quot;??_ ;_-@_ "/>
    <numFmt numFmtId="165" formatCode="_-[$$-409]* #,##0_ ;_-[$$-409]* \-#,##0\ ;_-[$$-409]* &quot;-&quot;?_ ;_-@_ "/>
    <numFmt numFmtId="166" formatCode="0.0%"/>
  </numFmts>
  <fonts count="6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4" fontId="4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4" xfId="0" applyNumberFormat="1" applyBorder="1"/>
    <xf numFmtId="0" fontId="0" fillId="0" borderId="5" xfId="0" applyBorder="1"/>
    <xf numFmtId="166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6" xfId="0" applyBorder="1"/>
    <xf numFmtId="0" fontId="0" fillId="0" borderId="8" xfId="0" applyBorder="1"/>
    <xf numFmtId="164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166" fontId="0" fillId="0" borderId="5" xfId="0" applyNumberFormat="1" applyBorder="1"/>
    <xf numFmtId="0" fontId="0" fillId="0" borderId="7" xfId="0" applyBorder="1"/>
    <xf numFmtId="164" fontId="0" fillId="0" borderId="6" xfId="0" applyNumberFormat="1" applyBorder="1"/>
    <xf numFmtId="0" fontId="0" fillId="0" borderId="10" xfId="0" applyBorder="1"/>
  </cellXfs>
  <cellStyles count="1">
    <cellStyle name="Normal" xfId="0" builtinId="0"/>
  </cellStyles>
  <dxfs count="9"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[Inventory-Records-Sample-Data.xlsx]Missing Inventory to Their Cost!PivotTable1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Missing Inventory Compared to Unit Price (USD)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6.4126723482377528E-4"/>
              <c:y val="-3.77652411066524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'Missing Inventory to Their Cost'!$C$3</c:f>
              <c:strCache>
                <c:ptCount val="1"/>
                <c:pt idx="0">
                  <c:v>Sum of Missing Inventory (Total Units)?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'Missing Inventory to Their Cost'!$B$4:$B$15</c:f>
              <c:strCache>
                <c:ptCount val="12"/>
                <c:pt idx="0">
                  <c:v>USB Hub</c:v>
                </c:pt>
                <c:pt idx="1">
                  <c:v>Monitor Stand</c:v>
                </c:pt>
                <c:pt idx="2">
                  <c:v>Mouse Pad</c:v>
                </c:pt>
                <c:pt idx="3">
                  <c:v>Cable Management Kit</c:v>
                </c:pt>
                <c:pt idx="4">
                  <c:v>CPU Cooler</c:v>
                </c:pt>
                <c:pt idx="5">
                  <c:v>Gaming Desk</c:v>
                </c:pt>
                <c:pt idx="6">
                  <c:v>WiFi Adapter</c:v>
                </c:pt>
                <c:pt idx="7">
                  <c:v>Printer Cable</c:v>
                </c:pt>
                <c:pt idx="8">
                  <c:v>External DVD Drive</c:v>
                </c:pt>
                <c:pt idx="9">
                  <c:v>USB-C Adapter</c:v>
                </c:pt>
                <c:pt idx="10">
                  <c:v>Anti-Glare Screen Protector</c:v>
                </c:pt>
                <c:pt idx="11">
                  <c:v>Gaming Monitor</c:v>
                </c:pt>
              </c:strCache>
            </c:strRef>
          </c:cat>
          <c:val>
            <c:numRef>
              <c:f>'Missing Inventory to Their Cost'!$C$4:$C$15</c:f>
              <c:numCache>
                <c:formatCode>General</c:formatCode>
                <c:ptCount val="12"/>
                <c:pt idx="0">
                  <c:v>12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9-4AD3-A131-716798502613}"/>
            </c:ext>
          </c:extLst>
        </c:ser>
        <c:ser>
          <c:idx val="1"/>
          <c:order val="1"/>
          <c:tx>
            <c:strRef>
              <c:f>'Missing Inventory to Their Cost'!$D$3</c:f>
              <c:strCache>
                <c:ptCount val="1"/>
                <c:pt idx="0">
                  <c:v>Sum of Cost Price 
Per Unit (USD)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63-4BB7-9B69-D02ED7C8195F}"/>
              </c:ext>
            </c:extLst>
          </c:dPt>
          <c:dLbls>
            <c:dLbl>
              <c:idx val="0"/>
              <c:layout>
                <c:manualLayout>
                  <c:x val="-6.4126723482377528E-4"/>
                  <c:y val="-3.77652411066524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63-4BB7-9B69-D02ED7C819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'Missing Inventory to Their Cost'!$B$4:$B$15</c:f>
              <c:strCache>
                <c:ptCount val="12"/>
                <c:pt idx="0">
                  <c:v>USB Hub</c:v>
                </c:pt>
                <c:pt idx="1">
                  <c:v>Monitor Stand</c:v>
                </c:pt>
                <c:pt idx="2">
                  <c:v>Mouse Pad</c:v>
                </c:pt>
                <c:pt idx="3">
                  <c:v>Cable Management Kit</c:v>
                </c:pt>
                <c:pt idx="4">
                  <c:v>CPU Cooler</c:v>
                </c:pt>
                <c:pt idx="5">
                  <c:v>Gaming Desk</c:v>
                </c:pt>
                <c:pt idx="6">
                  <c:v>WiFi Adapter</c:v>
                </c:pt>
                <c:pt idx="7">
                  <c:v>Printer Cable</c:v>
                </c:pt>
                <c:pt idx="8">
                  <c:v>External DVD Drive</c:v>
                </c:pt>
                <c:pt idx="9">
                  <c:v>USB-C Adapter</c:v>
                </c:pt>
                <c:pt idx="10">
                  <c:v>Anti-Glare Screen Protector</c:v>
                </c:pt>
                <c:pt idx="11">
                  <c:v>Gaming Monitor</c:v>
                </c:pt>
              </c:strCache>
            </c:strRef>
          </c:cat>
          <c:val>
            <c:numRef>
              <c:f>'Missing Inventory to Their Cost'!$D$4:$D$15</c:f>
              <c:numCache>
                <c:formatCode>_-[$$-409]* #,##0_ ;_-[$$-409]* \-#,##0\ ;_-[$$-409]* "-"??_ ;_-@_ </c:formatCode>
                <c:ptCount val="12"/>
                <c:pt idx="0">
                  <c:v>15</c:v>
                </c:pt>
                <c:pt idx="1">
                  <c:v>30</c:v>
                </c:pt>
                <c:pt idx="2">
                  <c:v>10</c:v>
                </c:pt>
                <c:pt idx="3">
                  <c:v>15</c:v>
                </c:pt>
                <c:pt idx="4">
                  <c:v>50</c:v>
                </c:pt>
                <c:pt idx="5">
                  <c:v>150</c:v>
                </c:pt>
                <c:pt idx="6">
                  <c:v>20</c:v>
                </c:pt>
                <c:pt idx="7">
                  <c:v>5</c:v>
                </c:pt>
                <c:pt idx="8">
                  <c:v>50</c:v>
                </c:pt>
                <c:pt idx="9">
                  <c:v>15</c:v>
                </c:pt>
                <c:pt idx="10">
                  <c:v>10</c:v>
                </c:pt>
                <c:pt idx="11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39-4AD3-A131-716798502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0"/>
        <c:overlap val="-27"/>
        <c:axId val="297372167"/>
        <c:axId val="297573383"/>
      </c:barChart>
      <c:catAx>
        <c:axId val="297372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573383"/>
        <c:crosses val="autoZero"/>
        <c:auto val="1"/>
        <c:lblAlgn val="ctr"/>
        <c:lblOffset val="100"/>
        <c:noMultiLvlLbl val="0"/>
      </c:catAx>
      <c:valAx>
        <c:axId val="297573383"/>
        <c:scaling>
          <c:logBase val="5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 / Missing Inventory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cross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372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[Inventory-Records-Sample-Data.xlsx]Top v Bottom 10 Product 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 Sales (USD)</a:t>
            </a:r>
          </a:p>
        </c:rich>
      </c:tx>
      <c:layout>
        <c:manualLayout>
          <c:xMode val="edge"/>
          <c:yMode val="edge"/>
          <c:x val="0.63268073273372571"/>
          <c:y val="3.16976542954164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2318799276677326E-3"/>
              <c:y val="4.19222740080075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6476674328367648E-2"/>
              <c:y val="-5.17040066124331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3775153105861768E-3"/>
              <c:y val="-2.13528824156782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6198600174978131E-3"/>
              <c:y val="3.075103229167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'Top v Bottom 10 Product Sales'!$C$3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AF-4FD5-A900-CCAF39DBE0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AF-4FD5-A900-CCAF39DBE0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AF-4FD5-A900-CCAF39DBE0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0AF-4FD5-A900-CCAF39DBE0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0AF-4FD5-A900-CCAF39DBE08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0AF-4FD5-A900-CCAF39DBE08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0AF-4FD5-A900-CCAF39DBE08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0AF-4FD5-A900-CCAF39DBE08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0AF-4FD5-A900-CCAF39DBE08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0AF-4FD5-A900-CCAF39DBE08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0AF-4FD5-A900-CCAF39DBE085}"/>
              </c:ext>
            </c:extLst>
          </c:dPt>
          <c:dLbls>
            <c:dLbl>
              <c:idx val="0"/>
              <c:layout>
                <c:manualLayout>
                  <c:x val="4.2318799276677326E-3"/>
                  <c:y val="4.192227400800758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AF-4FD5-A900-CCAF39DBE085}"/>
                </c:ext>
              </c:extLst>
            </c:dLbl>
            <c:dLbl>
              <c:idx val="1"/>
              <c:layout>
                <c:manualLayout>
                  <c:x val="4.6476674328367648E-2"/>
                  <c:y val="-5.170400661243311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AF-4FD5-A900-CCAF39DBE085}"/>
                </c:ext>
              </c:extLst>
            </c:dLbl>
            <c:dLbl>
              <c:idx val="2"/>
              <c:layout>
                <c:manualLayout>
                  <c:x val="6.3775153105861768E-3"/>
                  <c:y val="-2.135288241567824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AF-4FD5-A900-CCAF39DBE085}"/>
                </c:ext>
              </c:extLst>
            </c:dLbl>
            <c:dLbl>
              <c:idx val="3"/>
              <c:layout>
                <c:manualLayout>
                  <c:x val="5.6198600174978131E-3"/>
                  <c:y val="3.07510322916752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0AF-4FD5-A900-CCAF39DBE0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v Bottom 10 Product Sales'!$B$4:$B$14</c:f>
              <c:strCache>
                <c:ptCount val="10"/>
                <c:pt idx="0">
                  <c:v>Smartphone</c:v>
                </c:pt>
                <c:pt idx="1">
                  <c:v>Laptop</c:v>
                </c:pt>
                <c:pt idx="2">
                  <c:v>Tablet</c:v>
                </c:pt>
                <c:pt idx="3">
                  <c:v>Graphics Card</c:v>
                </c:pt>
                <c:pt idx="4">
                  <c:v>Monitor</c:v>
                </c:pt>
                <c:pt idx="5">
                  <c:v>CPU</c:v>
                </c:pt>
                <c:pt idx="6">
                  <c:v>Router</c:v>
                </c:pt>
                <c:pt idx="7">
                  <c:v>Gaming Monitor</c:v>
                </c:pt>
                <c:pt idx="8">
                  <c:v>Motherboard</c:v>
                </c:pt>
                <c:pt idx="9">
                  <c:v>External Hard Drive</c:v>
                </c:pt>
              </c:strCache>
            </c:strRef>
          </c:cat>
          <c:val>
            <c:numRef>
              <c:f>'Top v Bottom 10 Product Sales'!$C$4:$C$14</c:f>
              <c:numCache>
                <c:formatCode>_-[$$-409]* #,##0_ ;_-[$$-409]* \-#,##0\ ;_-[$$-409]* "-"??_ ;_-@_ </c:formatCode>
                <c:ptCount val="10"/>
                <c:pt idx="0">
                  <c:v>18000</c:v>
                </c:pt>
                <c:pt idx="1">
                  <c:v>12000</c:v>
                </c:pt>
                <c:pt idx="2">
                  <c:v>5600</c:v>
                </c:pt>
                <c:pt idx="3">
                  <c:v>5400</c:v>
                </c:pt>
                <c:pt idx="4">
                  <c:v>2500</c:v>
                </c:pt>
                <c:pt idx="5">
                  <c:v>2450</c:v>
                </c:pt>
                <c:pt idx="6">
                  <c:v>1800</c:v>
                </c:pt>
                <c:pt idx="7">
                  <c:v>1600</c:v>
                </c:pt>
                <c:pt idx="8">
                  <c:v>1000</c:v>
                </c:pt>
                <c:pt idx="9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A7-41AE-9A73-FF74789BE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[Inventory-Records-Sample-Data.xlsx]Top v Bottom 10 Product 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Units Sold</a:t>
            </a:r>
          </a:p>
        </c:rich>
      </c:tx>
      <c:layout>
        <c:manualLayout>
          <c:xMode val="edge"/>
          <c:yMode val="edge"/>
          <c:x val="0.7520794521351335"/>
          <c:y val="2.71788057804594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'Top v Bottom 10 Product Sales'!$C$22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3A-499C-B366-841144FE15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263A-499C-B366-841144FE15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263A-499C-B366-841144FE15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263A-499C-B366-841144FE156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263A-499C-B366-841144FE156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263A-499C-B366-841144FE156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D-263A-499C-B366-841144FE156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263A-499C-B366-841144FE156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1-263A-499C-B366-841144FE156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3-263A-499C-B366-841144FE15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D0D0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v Bottom 10 Product Sales'!$B$23:$B$33</c:f>
              <c:strCache>
                <c:ptCount val="10"/>
                <c:pt idx="0">
                  <c:v>Smartphone</c:v>
                </c:pt>
                <c:pt idx="1">
                  <c:v>Keyboard</c:v>
                </c:pt>
                <c:pt idx="2">
                  <c:v>Ethernet Cable</c:v>
                </c:pt>
                <c:pt idx="3">
                  <c:v>HDD</c:v>
                </c:pt>
                <c:pt idx="4">
                  <c:v>USB Flash Drive</c:v>
                </c:pt>
                <c:pt idx="5">
                  <c:v>Router</c:v>
                </c:pt>
                <c:pt idx="6">
                  <c:v>RAM</c:v>
                </c:pt>
                <c:pt idx="7">
                  <c:v>Webcam</c:v>
                </c:pt>
                <c:pt idx="8">
                  <c:v>Laptop</c:v>
                </c:pt>
                <c:pt idx="9">
                  <c:v>Graphics Card</c:v>
                </c:pt>
              </c:strCache>
            </c:strRef>
          </c:cat>
          <c:val>
            <c:numRef>
              <c:f>'Top v Bottom 10 Product Sales'!$C$23:$C$33</c:f>
              <c:numCache>
                <c:formatCode>General</c:formatCode>
                <c:ptCount val="1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  <c:pt idx="8">
                  <c:v>10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4-4300-A2FA-9A4E5A13B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[Inventory-Records-Sample-Data.xlsx]Top v Bottom 10 Product Sales!PivotTable3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10 Product Sales</a:t>
            </a:r>
          </a:p>
        </c:rich>
      </c:tx>
      <c:layout>
        <c:manualLayout>
          <c:xMode val="edge"/>
          <c:yMode val="edge"/>
          <c:x val="0.62877987421383652"/>
          <c:y val="2.0768495363609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5949967197571135E-2"/>
              <c:y val="2.26638298103583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7805872092075447E-3"/>
              <c:y val="-1.19940842522083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9407105242428844E-3"/>
              <c:y val="-7.386607335926175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7097310514461423E-2"/>
              <c:y val="-3.77805840454259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9118045026980323E-3"/>
              <c:y val="-2.40861446246554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980727510366297E-2"/>
              <c:y val="2.78327291524860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9469246705038865E-2"/>
              <c:y val="2.37172700103271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'Top v Bottom 10 Product Sales'!$O$3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34-4075-97E9-62F8A1AC17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34-4075-97E9-62F8A1AC17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34-4075-97E9-62F8A1AC17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34-4075-97E9-62F8A1AC17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A34-4075-97E9-62F8A1AC17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A34-4075-97E9-62F8A1AC17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A34-4075-97E9-62F8A1AC17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A34-4075-97E9-62F8A1AC17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A34-4075-97E9-62F8A1AC17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A34-4075-97E9-62F8A1AC1723}"/>
              </c:ext>
            </c:extLst>
          </c:dPt>
          <c:dLbls>
            <c:dLbl>
              <c:idx val="3"/>
              <c:layout>
                <c:manualLayout>
                  <c:x val="1.5949967197571135E-2"/>
                  <c:y val="2.266382981035839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A34-4075-97E9-62F8A1AC1723}"/>
                </c:ext>
              </c:extLst>
            </c:dLbl>
            <c:dLbl>
              <c:idx val="4"/>
              <c:layout>
                <c:manualLayout>
                  <c:x val="-3.7805872092075447E-3"/>
                  <c:y val="-1.199408425220830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A34-4075-97E9-62F8A1AC1723}"/>
                </c:ext>
              </c:extLst>
            </c:dLbl>
            <c:dLbl>
              <c:idx val="5"/>
              <c:layout>
                <c:manualLayout>
                  <c:x val="-2.9407105242428844E-3"/>
                  <c:y val="-7.386607335926175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A34-4075-97E9-62F8A1AC1723}"/>
                </c:ext>
              </c:extLst>
            </c:dLbl>
            <c:dLbl>
              <c:idx val="6"/>
              <c:layout>
                <c:manualLayout>
                  <c:x val="-5.7097310514461423E-2"/>
                  <c:y val="-3.778058404542599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A34-4075-97E9-62F8A1AC1723}"/>
                </c:ext>
              </c:extLst>
            </c:dLbl>
            <c:dLbl>
              <c:idx val="7"/>
              <c:layout>
                <c:manualLayout>
                  <c:x val="9.9118045026980323E-3"/>
                  <c:y val="-2.408614462465540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A34-4075-97E9-62F8A1AC1723}"/>
                </c:ext>
              </c:extLst>
            </c:dLbl>
            <c:dLbl>
              <c:idx val="8"/>
              <c:layout>
                <c:manualLayout>
                  <c:x val="-1.980727510366297E-2"/>
                  <c:y val="2.783272915248608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A34-4075-97E9-62F8A1AC1723}"/>
                </c:ext>
              </c:extLst>
            </c:dLbl>
            <c:dLbl>
              <c:idx val="9"/>
              <c:layout>
                <c:manualLayout>
                  <c:x val="-2.9469246705038865E-2"/>
                  <c:y val="2.371727001032718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A34-4075-97E9-62F8A1AC17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v Bottom 10 Product Sales'!$N$4:$N$14</c:f>
              <c:strCache>
                <c:ptCount val="10"/>
                <c:pt idx="0">
                  <c:v>Printer Cable</c:v>
                </c:pt>
                <c:pt idx="1">
                  <c:v>Thermal Paste</c:v>
                </c:pt>
                <c:pt idx="2">
                  <c:v>Anti-Glare Screen Protector</c:v>
                </c:pt>
                <c:pt idx="3">
                  <c:v>Cable Management Kit</c:v>
                </c:pt>
                <c:pt idx="4">
                  <c:v>USB Hub</c:v>
                </c:pt>
                <c:pt idx="5">
                  <c:v>USB-C Adapter</c:v>
                </c:pt>
                <c:pt idx="6">
                  <c:v>WiFi Adapter</c:v>
                </c:pt>
                <c:pt idx="7">
                  <c:v>Keyboard Cleaner</c:v>
                </c:pt>
                <c:pt idx="8">
                  <c:v>USB-C Cable</c:v>
                </c:pt>
                <c:pt idx="9">
                  <c:v>Mouse Pad</c:v>
                </c:pt>
              </c:strCache>
            </c:strRef>
          </c:cat>
          <c:val>
            <c:numRef>
              <c:f>'Top v Bottom 10 Product Sales'!$O$4:$O$14</c:f>
              <c:numCache>
                <c:formatCode>_-[$$-409]* #,##0_ ;_-[$$-409]* \-#,##0\ ;_-[$$-409]* "-"??_ ;_-@_ </c:formatCode>
                <c:ptCount val="10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72</c:v>
                </c:pt>
                <c:pt idx="8">
                  <c:v>72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0-48E6-BE55-1BE292FF0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[Inventory-Records-Sample-Data.xlsx]Top v Bottom 10 Product Sales!PivotTable4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6161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10 Units Sold</a:t>
            </a:r>
          </a:p>
        </c:rich>
      </c:tx>
      <c:layout>
        <c:manualLayout>
          <c:xMode val="edge"/>
          <c:yMode val="edge"/>
          <c:x val="0.67836495789280182"/>
          <c:y val="2.33029691160872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6161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8301570297647341E-2"/>
              <c:y val="-2.12765957446808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'Top v Bottom 10 Product Sales'!$O$21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77-4221-B6C1-037C9DEB8A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77-4221-B6C1-037C9DEB8A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77-4221-B6C1-037C9DEB8A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877-4221-B6C1-037C9DEB8A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877-4221-B6C1-037C9DEB8A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877-4221-B6C1-037C9DEB8A6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877-4221-B6C1-037C9DEB8A6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877-4221-B6C1-037C9DEB8A6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877-4221-B6C1-037C9DEB8A6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877-4221-B6C1-037C9DEB8A6A}"/>
              </c:ext>
            </c:extLst>
          </c:dPt>
          <c:dLbls>
            <c:dLbl>
              <c:idx val="0"/>
              <c:layout>
                <c:manualLayout>
                  <c:x val="-5.8301570297647341E-2"/>
                  <c:y val="-2.127659574468085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77-4221-B6C1-037C9DEB8A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v Bottom 10 Product Sales'!$N$22:$N$32</c:f>
              <c:strCache>
                <c:ptCount val="10"/>
                <c:pt idx="0">
                  <c:v>Gaming Chair</c:v>
                </c:pt>
                <c:pt idx="1">
                  <c:v>External DVD Drive</c:v>
                </c:pt>
                <c:pt idx="2">
                  <c:v>Gaming Desk</c:v>
                </c:pt>
                <c:pt idx="3">
                  <c:v>Gaming Headset</c:v>
                </c:pt>
                <c:pt idx="4">
                  <c:v>Desk Chair</c:v>
                </c:pt>
                <c:pt idx="5">
                  <c:v>Anti-Glare Screen Protector</c:v>
                </c:pt>
                <c:pt idx="6">
                  <c:v>Headphones</c:v>
                </c:pt>
                <c:pt idx="7">
                  <c:v>WiFi Adapter</c:v>
                </c:pt>
                <c:pt idx="8">
                  <c:v>Monitor Stand</c:v>
                </c:pt>
                <c:pt idx="9">
                  <c:v>Gaming Monitor</c:v>
                </c:pt>
              </c:strCache>
            </c:strRef>
          </c:cat>
          <c:val>
            <c:numRef>
              <c:f>'Top v Bottom 10 Product Sales'!$O$22:$O$32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5-44EC-8B6E-021A1BBD2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Progress of Break-Even vs Profit Goals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v>Profit Goals</c:v>
          </c:tx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'Basic Sales Calculations'!M44</c:f>
              <c:numCache>
                <c:formatCode>0.0%</c:formatCode>
                <c:ptCount val="1"/>
                <c:pt idx="0">
                  <c:v>0.88246213165715681</c:v>
                </c:pt>
              </c:numCache>
            </c:numRef>
          </c:xVal>
          <c:yVal>
            <c:numRef>
              <c:f>'Basic Sales Calculations'!M45</c:f>
              <c:numCache>
                <c:formatCode>0.0%</c:formatCode>
                <c:ptCount val="1"/>
                <c:pt idx="0">
                  <c:v>0.11753786834284313</c:v>
                </c:pt>
              </c:numCache>
            </c:numRef>
          </c:yVal>
          <c:bubbleSize>
            <c:numRef>
              <c:f>'Basic Sales Calculations'!M44:M45</c:f>
              <c:numCache>
                <c:formatCode>General</c:formatCode>
                <c:ptCount val="2"/>
                <c:pt idx="0" formatCode="0.0%">
                  <c:v>0.88246213165715681</c:v>
                </c:pt>
                <c:pt idx="1">
                  <c:v>0.11753786834284313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F-67FC-4563-B2B0-ED5D99DA882D}"/>
            </c:ext>
          </c:extLst>
        </c:ser>
        <c:ser>
          <c:idx val="1"/>
          <c:order val="1"/>
          <c:tx>
            <c:v>Break-Even Goals</c:v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'Basic Sales Calculations'!M48</c:f>
              <c:numCache>
                <c:formatCode>0.0%</c:formatCode>
                <c:ptCount val="1"/>
                <c:pt idx="0">
                  <c:v>0.85307766457144607</c:v>
                </c:pt>
              </c:numCache>
            </c:numRef>
          </c:xVal>
          <c:yVal>
            <c:numRef>
              <c:f>'Basic Sales Calculations'!M49</c:f>
              <c:numCache>
                <c:formatCode>0.0%</c:formatCode>
                <c:ptCount val="1"/>
                <c:pt idx="0">
                  <c:v>0.14692233542855393</c:v>
                </c:pt>
              </c:numCache>
            </c:numRef>
          </c:yVal>
          <c:bubbleSize>
            <c:numRef>
              <c:f>'Basic Sales Calculations'!M48:M49</c:f>
              <c:numCache>
                <c:formatCode>General</c:formatCode>
                <c:ptCount val="2"/>
                <c:pt idx="0" formatCode="0.0%">
                  <c:v>0.85307766457144607</c:v>
                </c:pt>
                <c:pt idx="1">
                  <c:v>0.14692233542855393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1-67FC-4563-B2B0-ED5D99DA8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944396295"/>
        <c:axId val="261236232"/>
      </c:bubbleChart>
      <c:valAx>
        <c:axId val="1944396295"/>
        <c:scaling>
          <c:orientation val="minMax"/>
          <c:max val="0.9"/>
          <c:min val="0.8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NOT Hit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236232"/>
        <c:crosses val="autoZero"/>
        <c:crossBetween val="midCat"/>
      </c:valAx>
      <c:valAx>
        <c:axId val="261236232"/>
        <c:scaling>
          <c:orientation val="minMax"/>
          <c:max val="0.16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HIT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396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[Inventory-Records-Sample-Data.xlsx]Unit 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On-Hand v Sales v In-Stock (First 10 Products)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000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00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0D0D0D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'Unit Sales'!$C$2</c:f>
              <c:strCache>
                <c:ptCount val="1"/>
                <c:pt idx="0">
                  <c:v>Sum of Units On Hand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'Unit Sales'!$B$3:$B$13</c:f>
              <c:strCache>
                <c:ptCount val="10"/>
                <c:pt idx="0">
                  <c:v>Anti-Glare Screen Protector</c:v>
                </c:pt>
                <c:pt idx="1">
                  <c:v>Cable Management Kit</c:v>
                </c:pt>
                <c:pt idx="2">
                  <c:v>CPU</c:v>
                </c:pt>
                <c:pt idx="3">
                  <c:v>CPU Cooler</c:v>
                </c:pt>
                <c:pt idx="4">
                  <c:v>Desk Chair</c:v>
                </c:pt>
                <c:pt idx="5">
                  <c:v>Desk Lamp</c:v>
                </c:pt>
                <c:pt idx="6">
                  <c:v>Ethernet Cable</c:v>
                </c:pt>
                <c:pt idx="7">
                  <c:v>External DVD Drive</c:v>
                </c:pt>
                <c:pt idx="8">
                  <c:v>External Hard Drive</c:v>
                </c:pt>
                <c:pt idx="9">
                  <c:v>Gaming Chair</c:v>
                </c:pt>
              </c:strCache>
            </c:strRef>
          </c:cat>
          <c:val>
            <c:numRef>
              <c:f>'Unit Sales'!$C$3:$C$13</c:f>
              <c:numCache>
                <c:formatCode>General</c:formatCode>
                <c:ptCount val="10"/>
                <c:pt idx="0">
                  <c:v>33</c:v>
                </c:pt>
                <c:pt idx="1">
                  <c:v>42</c:v>
                </c:pt>
                <c:pt idx="2">
                  <c:v>45</c:v>
                </c:pt>
                <c:pt idx="3">
                  <c:v>42</c:v>
                </c:pt>
                <c:pt idx="4">
                  <c:v>28</c:v>
                </c:pt>
                <c:pt idx="5">
                  <c:v>45</c:v>
                </c:pt>
                <c:pt idx="6">
                  <c:v>90</c:v>
                </c:pt>
                <c:pt idx="7">
                  <c:v>21</c:v>
                </c:pt>
                <c:pt idx="8">
                  <c:v>37</c:v>
                </c:pt>
                <c:pt idx="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FF-47B4-B658-A27B6582AD87}"/>
            </c:ext>
          </c:extLst>
        </c:ser>
        <c:ser>
          <c:idx val="1"/>
          <c:order val="1"/>
          <c:tx>
            <c:strRef>
              <c:f>'Unit Sales'!$D$2</c:f>
              <c:strCache>
                <c:ptCount val="1"/>
                <c:pt idx="0">
                  <c:v>Sum of Number of 
Units Sold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'Unit Sales'!$B$3:$B$13</c:f>
              <c:strCache>
                <c:ptCount val="10"/>
                <c:pt idx="0">
                  <c:v>Anti-Glare Screen Protector</c:v>
                </c:pt>
                <c:pt idx="1">
                  <c:v>Cable Management Kit</c:v>
                </c:pt>
                <c:pt idx="2">
                  <c:v>CPU</c:v>
                </c:pt>
                <c:pt idx="3">
                  <c:v>CPU Cooler</c:v>
                </c:pt>
                <c:pt idx="4">
                  <c:v>Desk Chair</c:v>
                </c:pt>
                <c:pt idx="5">
                  <c:v>Desk Lamp</c:v>
                </c:pt>
                <c:pt idx="6">
                  <c:v>Ethernet Cable</c:v>
                </c:pt>
                <c:pt idx="7">
                  <c:v>External DVD Drive</c:v>
                </c:pt>
                <c:pt idx="8">
                  <c:v>External Hard Drive</c:v>
                </c:pt>
                <c:pt idx="9">
                  <c:v>Gaming Chair</c:v>
                </c:pt>
              </c:strCache>
            </c:strRef>
          </c:cat>
          <c:val>
            <c:numRef>
              <c:f>'Unit Sales'!$D$3:$D$13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4</c:v>
                </c:pt>
                <c:pt idx="4">
                  <c:v>3</c:v>
                </c:pt>
                <c:pt idx="5">
                  <c:v>7</c:v>
                </c:pt>
                <c:pt idx="6">
                  <c:v>15</c:v>
                </c:pt>
                <c:pt idx="7">
                  <c:v>2</c:v>
                </c:pt>
                <c:pt idx="8">
                  <c:v>5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FF-47B4-B658-A27B6582AD87}"/>
            </c:ext>
          </c:extLst>
        </c:ser>
        <c:ser>
          <c:idx val="2"/>
          <c:order val="2"/>
          <c:tx>
            <c:strRef>
              <c:f>'Unit Sales'!$E$2</c:f>
              <c:strCache>
                <c:ptCount val="1"/>
                <c:pt idx="0">
                  <c:v>Sum of Hand-In-
Stock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D0D0D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'Unit Sales'!$B$3:$B$13</c:f>
              <c:strCache>
                <c:ptCount val="10"/>
                <c:pt idx="0">
                  <c:v>Anti-Glare Screen Protector</c:v>
                </c:pt>
                <c:pt idx="1">
                  <c:v>Cable Management Kit</c:v>
                </c:pt>
                <c:pt idx="2">
                  <c:v>CPU</c:v>
                </c:pt>
                <c:pt idx="3">
                  <c:v>CPU Cooler</c:v>
                </c:pt>
                <c:pt idx="4">
                  <c:v>Desk Chair</c:v>
                </c:pt>
                <c:pt idx="5">
                  <c:v>Desk Lamp</c:v>
                </c:pt>
                <c:pt idx="6">
                  <c:v>Ethernet Cable</c:v>
                </c:pt>
                <c:pt idx="7">
                  <c:v>External DVD Drive</c:v>
                </c:pt>
                <c:pt idx="8">
                  <c:v>External Hard Drive</c:v>
                </c:pt>
                <c:pt idx="9">
                  <c:v>Gaming Chair</c:v>
                </c:pt>
              </c:strCache>
            </c:strRef>
          </c:cat>
          <c:val>
            <c:numRef>
              <c:f>'Unit Sales'!$E$3:$E$13</c:f>
              <c:numCache>
                <c:formatCode>General</c:formatCode>
                <c:ptCount val="10"/>
                <c:pt idx="0">
                  <c:v>28</c:v>
                </c:pt>
                <c:pt idx="1">
                  <c:v>34</c:v>
                </c:pt>
                <c:pt idx="2">
                  <c:v>38</c:v>
                </c:pt>
                <c:pt idx="3">
                  <c:v>34</c:v>
                </c:pt>
                <c:pt idx="4">
                  <c:v>25</c:v>
                </c:pt>
                <c:pt idx="5">
                  <c:v>38</c:v>
                </c:pt>
                <c:pt idx="6">
                  <c:v>75</c:v>
                </c:pt>
                <c:pt idx="7">
                  <c:v>17</c:v>
                </c:pt>
                <c:pt idx="8">
                  <c:v>32</c:v>
                </c:pt>
                <c:pt idx="9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FF-47B4-B658-A27B6582A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0864775"/>
        <c:axId val="640867335"/>
      </c:lineChart>
      <c:catAx>
        <c:axId val="640864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867335"/>
        <c:crosses val="autoZero"/>
        <c:auto val="1"/>
        <c:lblAlgn val="ctr"/>
        <c:lblOffset val="100"/>
        <c:noMultiLvlLbl val="0"/>
      </c:catAx>
      <c:valAx>
        <c:axId val="640867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864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1</xdr:row>
      <xdr:rowOff>104775</xdr:rowOff>
    </xdr:from>
    <xdr:to>
      <xdr:col>25</xdr:col>
      <xdr:colOff>257175</xdr:colOff>
      <xdr:row>15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32570B-D448-9EEE-9B4C-CF73D32F4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0</xdr:row>
      <xdr:rowOff>171450</xdr:rowOff>
    </xdr:from>
    <xdr:to>
      <xdr:col>11</xdr:col>
      <xdr:colOff>180975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158BDD-E4BE-C95E-2884-F090D7904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276225</xdr:colOff>
      <xdr:row>19</xdr:row>
      <xdr:rowOff>66675</xdr:rowOff>
    </xdr:from>
    <xdr:to>
      <xdr:col>11</xdr:col>
      <xdr:colOff>133350</xdr:colOff>
      <xdr:row>34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D20029-CAC3-539A-ECB9-D8BAA69E6301}"/>
            </a:ext>
            <a:ext uri="{147F2762-F138-4A5C-976F-8EAC2B608ADB}">
              <a16:predDERef xmlns:a16="http://schemas.microsoft.com/office/drawing/2014/main" pred="{93158BDD-E4BE-C95E-2884-F090D7904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104775</xdr:colOff>
      <xdr:row>0</xdr:row>
      <xdr:rowOff>171450</xdr:rowOff>
    </xdr:from>
    <xdr:to>
      <xdr:col>25</xdr:col>
      <xdr:colOff>142875</xdr:colOff>
      <xdr:row>20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0C0E3A-3B9B-04A1-03DD-0A0D3058994F}"/>
            </a:ext>
            <a:ext uri="{147F2762-F138-4A5C-976F-8EAC2B608ADB}">
              <a16:predDERef xmlns:a16="http://schemas.microsoft.com/office/drawing/2014/main" pred="{AFD20029-CAC3-539A-ECB9-D8BAA69E6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457200</xdr:colOff>
      <xdr:row>23</xdr:row>
      <xdr:rowOff>133350</xdr:rowOff>
    </xdr:from>
    <xdr:to>
      <xdr:col>23</xdr:col>
      <xdr:colOff>590550</xdr:colOff>
      <xdr:row>40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BE9466-0306-E8B1-8D68-9D2CDEF2D524}"/>
            </a:ext>
            <a:ext uri="{147F2762-F138-4A5C-976F-8EAC2B608ADB}">
              <a16:predDERef xmlns:a16="http://schemas.microsoft.com/office/drawing/2014/main" pred="{930C0E3A-3B9B-04A1-03DD-0A0D30589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428625</xdr:colOff>
      <xdr:row>36</xdr:row>
      <xdr:rowOff>133350</xdr:rowOff>
    </xdr:from>
    <xdr:to>
      <xdr:col>22</xdr:col>
      <xdr:colOff>47625</xdr:colOff>
      <xdr:row>51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FB0C4-52DF-463C-3814-1DAC7A9E98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0</xdr:row>
      <xdr:rowOff>180975</xdr:rowOff>
    </xdr:from>
    <xdr:to>
      <xdr:col>15</xdr:col>
      <xdr:colOff>266700</xdr:colOff>
      <xdr:row>21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A4DCCA-39BB-DF32-34B4-D5BD0A30C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9.880001273152" createdVersion="8" refreshedVersion="8" minRefreshableVersion="3" recordCount="46" xr:uid="{402872DA-8B90-4A6B-8740-99F08BD911E7}">
  <cacheSource type="worksheet">
    <worksheetSource ref="B6:M52" sheet="Inventory Records Data"/>
  </cacheSource>
  <cacheFields count="12">
    <cacheField name="Product ID" numFmtId="0">
      <sharedItems/>
    </cacheField>
    <cacheField name="Product Name" numFmtId="0">
      <sharedItems count="46">
        <s v="Laptop"/>
        <s v="Monitor"/>
        <s v="Keyboard"/>
        <s v="Headphones"/>
        <s v="Smartphone"/>
        <s v="Tablet"/>
        <s v="Router"/>
        <s v="External Hard Drive"/>
        <s v="Wireless Earbuds"/>
        <s v="Webcam"/>
        <s v="Desk Chair"/>
        <s v="Desk Lamp"/>
        <s v="USB Flash Drive"/>
        <s v="Ethernet Cable"/>
        <s v="Power Strip"/>
        <s v="Wireless Mouse"/>
        <s v="Gaming Keyboard"/>
        <s v="Gaming Mouse"/>
        <s v="Gaming Headset"/>
        <s v="Gaming Chair"/>
        <s v="Gaming Monitor"/>
        <s v="Graphics Card"/>
        <s v="CPU"/>
        <s v="Motherboard"/>
        <s v="RAM"/>
        <s v="SSD"/>
        <s v="HDD"/>
        <s v="Power Supply"/>
        <s v="PC Case"/>
        <s v="CPU Cooler"/>
        <s v="Monitor Stand"/>
        <s v="Mouse Pad"/>
        <s v="Thermal Paste"/>
        <s v="Cable Management Kit"/>
        <s v="WiFi Adapter"/>
        <s v="External DVD Drive"/>
        <s v="Printer Cable"/>
        <s v="Keyboard Cleaner"/>
        <s v="Laptop Cooling Pad"/>
        <s v="USB Hub"/>
        <s v="Anti-Glare Screen Protector"/>
        <s v="USB-C Adapter"/>
        <s v="Laptop Sleeve"/>
        <s v="Wireless Charger"/>
        <s v="USB-C Cable"/>
        <s v="Gaming Desk"/>
      </sharedItems>
    </cacheField>
    <cacheField name="Opening _x000a_Stock" numFmtId="0">
      <sharedItems containsSemiMixedTypes="0" containsString="0" containsNumber="1" containsInteger="1" minValue="15" maxValue="70"/>
    </cacheField>
    <cacheField name="Purchase/_x000a_Stock in" numFmtId="0">
      <sharedItems containsSemiMixedTypes="0" containsString="0" containsNumber="1" containsInteger="1" minValue="6" maxValue="30"/>
    </cacheField>
    <cacheField name="Units On Hand" numFmtId="0">
      <sharedItems containsSemiMixedTypes="0" containsString="0" containsNumber="1" containsInteger="1" minValue="21" maxValue="100"/>
    </cacheField>
    <cacheField name="Number of _x000a_Units Sold" numFmtId="0">
      <sharedItems containsSemiMixedTypes="0" containsString="0" containsNumber="1" containsInteger="1" minValue="2" maxValue="20" count="13">
        <n v="10"/>
        <n v="5"/>
        <n v="15"/>
        <n v="3"/>
        <n v="20"/>
        <n v="8"/>
        <n v="12"/>
        <n v="7"/>
        <n v="4"/>
        <n v="6"/>
        <n v="2"/>
        <n v="9"/>
        <n v="11"/>
      </sharedItems>
    </cacheField>
    <cacheField name="Hand-In-_x000a_Stock" numFmtId="0">
      <sharedItems containsSemiMixedTypes="0" containsString="0" containsNumber="1" containsInteger="1" minValue="17" maxValue="80"/>
    </cacheField>
    <cacheField name="Correct Sales to Stock-In-Hand Depletion?" numFmtId="0">
      <sharedItems count="2">
        <s v="Yes"/>
        <s v="No - Missing Inventory"/>
      </sharedItems>
    </cacheField>
    <cacheField name="Missing Inventory?" numFmtId="0">
      <sharedItems containsMixedTypes="1" containsNumber="1" containsInteger="1" minValue="2" maxValue="12" count="4">
        <s v="/"/>
        <n v="2"/>
        <n v="4"/>
        <n v="12"/>
      </sharedItems>
    </cacheField>
    <cacheField name="Cost Price _x000a_Per Unit (USD)" numFmtId="164">
      <sharedItems containsSemiMixedTypes="0" containsString="0" containsNumber="1" containsInteger="1" minValue="5" maxValue="1200" count="22">
        <n v="1200"/>
        <n v="500"/>
        <n v="50"/>
        <n v="100"/>
        <n v="900"/>
        <n v="700"/>
        <n v="150"/>
        <n v="200"/>
        <n v="80"/>
        <n v="60"/>
        <n v="30"/>
        <n v="20"/>
        <n v="10"/>
        <n v="25"/>
        <n v="40"/>
        <n v="120"/>
        <n v="400"/>
        <n v="600"/>
        <n v="350"/>
        <n v="5"/>
        <n v="15"/>
        <n v="8"/>
      </sharedItems>
    </cacheField>
    <cacheField name="Cost Price_x000a_Total (USD)" numFmtId="164">
      <sharedItems containsSemiMixedTypes="0" containsString="0" containsNumber="1" containsInteger="1" minValue="175" maxValue="90000"/>
    </cacheField>
    <cacheField name="Revenue (USD)" numFmtId="164">
      <sharedItems containsSemiMixedTypes="0" containsString="0" containsNumber="1" containsInteger="1" minValue="20" maxValue="18000" count="33">
        <n v="12000"/>
        <n v="2500"/>
        <n v="750"/>
        <n v="300"/>
        <n v="18000"/>
        <n v="5600"/>
        <n v="1800"/>
        <n v="1000"/>
        <n v="560"/>
        <n v="600"/>
        <n v="450"/>
        <n v="210"/>
        <n v="240"/>
        <n v="150"/>
        <n v="200"/>
        <n v="400"/>
        <n v="480"/>
        <n v="360"/>
        <n v="1600"/>
        <n v="5400"/>
        <n v="2450"/>
        <n v="880"/>
        <n v="960"/>
        <n v="720"/>
        <n v="90"/>
        <n v="80"/>
        <n v="25"/>
        <n v="60"/>
        <n v="100"/>
        <n v="20"/>
        <n v="72"/>
        <n v="120"/>
        <n v="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P101"/>
    <x v="0"/>
    <n v="50"/>
    <n v="20"/>
    <n v="70"/>
    <x v="0"/>
    <n v="60"/>
    <x v="0"/>
    <x v="0"/>
    <x v="0"/>
    <n v="84000"/>
    <x v="0"/>
  </r>
  <r>
    <s v="P102"/>
    <x v="1"/>
    <n v="40"/>
    <n v="15"/>
    <n v="55"/>
    <x v="1"/>
    <n v="50"/>
    <x v="0"/>
    <x v="0"/>
    <x v="1"/>
    <n v="27500"/>
    <x v="1"/>
  </r>
  <r>
    <s v="P103"/>
    <x v="2"/>
    <n v="60"/>
    <n v="25"/>
    <n v="85"/>
    <x v="2"/>
    <n v="70"/>
    <x v="0"/>
    <x v="0"/>
    <x v="2"/>
    <n v="4250"/>
    <x v="2"/>
  </r>
  <r>
    <s v="P104"/>
    <x v="3"/>
    <n v="30"/>
    <n v="10"/>
    <n v="40"/>
    <x v="3"/>
    <n v="37"/>
    <x v="0"/>
    <x v="0"/>
    <x v="3"/>
    <n v="4000"/>
    <x v="3"/>
  </r>
  <r>
    <s v="P105"/>
    <x v="4"/>
    <n v="70"/>
    <n v="30"/>
    <n v="100"/>
    <x v="4"/>
    <n v="80"/>
    <x v="0"/>
    <x v="0"/>
    <x v="4"/>
    <n v="90000"/>
    <x v="4"/>
  </r>
  <r>
    <s v="P106"/>
    <x v="5"/>
    <n v="45"/>
    <n v="18"/>
    <n v="63"/>
    <x v="5"/>
    <n v="55"/>
    <x v="0"/>
    <x v="0"/>
    <x v="5"/>
    <n v="44100"/>
    <x v="5"/>
  </r>
  <r>
    <s v="P107"/>
    <x v="6"/>
    <n v="55"/>
    <n v="22"/>
    <n v="77"/>
    <x v="6"/>
    <n v="65"/>
    <x v="0"/>
    <x v="0"/>
    <x v="6"/>
    <n v="11550"/>
    <x v="6"/>
  </r>
  <r>
    <s v="P108"/>
    <x v="7"/>
    <n v="25"/>
    <n v="12"/>
    <n v="37"/>
    <x v="1"/>
    <n v="32"/>
    <x v="0"/>
    <x v="0"/>
    <x v="7"/>
    <n v="7400"/>
    <x v="7"/>
  </r>
  <r>
    <s v="P109"/>
    <x v="8"/>
    <n v="35"/>
    <n v="15"/>
    <n v="50"/>
    <x v="7"/>
    <n v="43"/>
    <x v="0"/>
    <x v="0"/>
    <x v="8"/>
    <n v="4000"/>
    <x v="8"/>
  </r>
  <r>
    <s v="P110"/>
    <x v="9"/>
    <n v="40"/>
    <n v="20"/>
    <n v="60"/>
    <x v="0"/>
    <n v="50"/>
    <x v="0"/>
    <x v="0"/>
    <x v="9"/>
    <n v="3600"/>
    <x v="9"/>
  </r>
  <r>
    <s v="P111"/>
    <x v="10"/>
    <n v="20"/>
    <n v="8"/>
    <n v="28"/>
    <x v="3"/>
    <n v="25"/>
    <x v="0"/>
    <x v="0"/>
    <x v="6"/>
    <n v="4200"/>
    <x v="10"/>
  </r>
  <r>
    <s v="P112"/>
    <x v="11"/>
    <n v="30"/>
    <n v="15"/>
    <n v="45"/>
    <x v="7"/>
    <n v="38"/>
    <x v="0"/>
    <x v="0"/>
    <x v="10"/>
    <n v="1350"/>
    <x v="11"/>
  </r>
  <r>
    <s v="P113"/>
    <x v="12"/>
    <n v="50"/>
    <n v="25"/>
    <n v="75"/>
    <x v="6"/>
    <n v="63"/>
    <x v="0"/>
    <x v="0"/>
    <x v="11"/>
    <n v="1500"/>
    <x v="12"/>
  </r>
  <r>
    <s v="P114"/>
    <x v="13"/>
    <n v="60"/>
    <n v="30"/>
    <n v="90"/>
    <x v="2"/>
    <n v="75"/>
    <x v="0"/>
    <x v="0"/>
    <x v="12"/>
    <n v="900"/>
    <x v="13"/>
  </r>
  <r>
    <s v="P115"/>
    <x v="14"/>
    <n v="40"/>
    <n v="20"/>
    <n v="60"/>
    <x v="5"/>
    <n v="52"/>
    <x v="0"/>
    <x v="0"/>
    <x v="13"/>
    <n v="1500"/>
    <x v="14"/>
  </r>
  <r>
    <s v="P116"/>
    <x v="15"/>
    <n v="35"/>
    <n v="15"/>
    <n v="50"/>
    <x v="1"/>
    <n v="45"/>
    <x v="0"/>
    <x v="0"/>
    <x v="14"/>
    <n v="2000"/>
    <x v="14"/>
  </r>
  <r>
    <s v="P117"/>
    <x v="16"/>
    <n v="25"/>
    <n v="10"/>
    <n v="35"/>
    <x v="8"/>
    <n v="31"/>
    <x v="0"/>
    <x v="0"/>
    <x v="3"/>
    <n v="3500"/>
    <x v="15"/>
  </r>
  <r>
    <s v="P118"/>
    <x v="17"/>
    <n v="30"/>
    <n v="12"/>
    <n v="42"/>
    <x v="9"/>
    <n v="36"/>
    <x v="0"/>
    <x v="0"/>
    <x v="8"/>
    <n v="3360"/>
    <x v="16"/>
  </r>
  <r>
    <s v="P119"/>
    <x v="18"/>
    <n v="20"/>
    <n v="8"/>
    <n v="28"/>
    <x v="3"/>
    <n v="25"/>
    <x v="0"/>
    <x v="0"/>
    <x v="15"/>
    <n v="3360"/>
    <x v="17"/>
  </r>
  <r>
    <s v="P120"/>
    <x v="19"/>
    <n v="15"/>
    <n v="6"/>
    <n v="21"/>
    <x v="10"/>
    <n v="19"/>
    <x v="0"/>
    <x v="0"/>
    <x v="7"/>
    <n v="4200"/>
    <x v="15"/>
  </r>
  <r>
    <s v="P121"/>
    <x v="20"/>
    <n v="25"/>
    <n v="10"/>
    <n v="35"/>
    <x v="8"/>
    <n v="29"/>
    <x v="1"/>
    <x v="1"/>
    <x v="16"/>
    <n v="14000"/>
    <x v="18"/>
  </r>
  <r>
    <s v="P122"/>
    <x v="21"/>
    <n v="40"/>
    <n v="18"/>
    <n v="58"/>
    <x v="11"/>
    <n v="49"/>
    <x v="0"/>
    <x v="0"/>
    <x v="17"/>
    <n v="34800"/>
    <x v="19"/>
  </r>
  <r>
    <s v="P123"/>
    <x v="22"/>
    <n v="30"/>
    <n v="15"/>
    <n v="45"/>
    <x v="7"/>
    <n v="38"/>
    <x v="0"/>
    <x v="0"/>
    <x v="18"/>
    <n v="15750"/>
    <x v="20"/>
  </r>
  <r>
    <s v="P124"/>
    <x v="23"/>
    <n v="25"/>
    <n v="12"/>
    <n v="37"/>
    <x v="1"/>
    <n v="32"/>
    <x v="0"/>
    <x v="0"/>
    <x v="7"/>
    <n v="7400"/>
    <x v="7"/>
  </r>
  <r>
    <s v="P125"/>
    <x v="24"/>
    <n v="50"/>
    <n v="22"/>
    <n v="72"/>
    <x v="12"/>
    <n v="61"/>
    <x v="0"/>
    <x v="0"/>
    <x v="8"/>
    <n v="5760"/>
    <x v="21"/>
  </r>
  <r>
    <s v="P126"/>
    <x v="25"/>
    <n v="45"/>
    <n v="20"/>
    <n v="65"/>
    <x v="5"/>
    <n v="57"/>
    <x v="0"/>
    <x v="0"/>
    <x v="15"/>
    <n v="7800"/>
    <x v="22"/>
  </r>
  <r>
    <s v="P127"/>
    <x v="26"/>
    <n v="60"/>
    <n v="25"/>
    <n v="85"/>
    <x v="6"/>
    <n v="73"/>
    <x v="0"/>
    <x v="0"/>
    <x v="9"/>
    <n v="5100"/>
    <x v="23"/>
  </r>
  <r>
    <s v="P128"/>
    <x v="27"/>
    <n v="35"/>
    <n v="15"/>
    <n v="50"/>
    <x v="9"/>
    <n v="44"/>
    <x v="0"/>
    <x v="0"/>
    <x v="3"/>
    <n v="5000"/>
    <x v="9"/>
  </r>
  <r>
    <s v="P129"/>
    <x v="28"/>
    <n v="40"/>
    <n v="18"/>
    <n v="58"/>
    <x v="11"/>
    <n v="49"/>
    <x v="0"/>
    <x v="0"/>
    <x v="8"/>
    <n v="4640"/>
    <x v="23"/>
  </r>
  <r>
    <s v="P130"/>
    <x v="29"/>
    <n v="30"/>
    <n v="12"/>
    <n v="42"/>
    <x v="8"/>
    <n v="34"/>
    <x v="1"/>
    <x v="2"/>
    <x v="2"/>
    <n v="2100"/>
    <x v="14"/>
  </r>
  <r>
    <s v="P131"/>
    <x v="30"/>
    <n v="25"/>
    <n v="10"/>
    <n v="35"/>
    <x v="3"/>
    <n v="28"/>
    <x v="1"/>
    <x v="2"/>
    <x v="10"/>
    <n v="1050"/>
    <x v="24"/>
  </r>
  <r>
    <s v="P132"/>
    <x v="31"/>
    <n v="50"/>
    <n v="20"/>
    <n v="70"/>
    <x v="5"/>
    <n v="58"/>
    <x v="1"/>
    <x v="2"/>
    <x v="12"/>
    <n v="700"/>
    <x v="25"/>
  </r>
  <r>
    <s v="P133"/>
    <x v="32"/>
    <n v="40"/>
    <n v="15"/>
    <n v="55"/>
    <x v="1"/>
    <n v="50"/>
    <x v="0"/>
    <x v="0"/>
    <x v="19"/>
    <n v="275"/>
    <x v="26"/>
  </r>
  <r>
    <s v="P134"/>
    <x v="33"/>
    <n v="30"/>
    <n v="12"/>
    <n v="42"/>
    <x v="8"/>
    <n v="34"/>
    <x v="1"/>
    <x v="2"/>
    <x v="20"/>
    <n v="630"/>
    <x v="27"/>
  </r>
  <r>
    <s v="P135"/>
    <x v="34"/>
    <n v="20"/>
    <n v="8"/>
    <n v="28"/>
    <x v="3"/>
    <n v="23"/>
    <x v="1"/>
    <x v="1"/>
    <x v="11"/>
    <n v="560"/>
    <x v="27"/>
  </r>
  <r>
    <s v="P136"/>
    <x v="35"/>
    <n v="15"/>
    <n v="6"/>
    <n v="21"/>
    <x v="10"/>
    <n v="17"/>
    <x v="1"/>
    <x v="1"/>
    <x v="2"/>
    <n v="1050"/>
    <x v="28"/>
  </r>
  <r>
    <s v="P137"/>
    <x v="36"/>
    <n v="25"/>
    <n v="10"/>
    <n v="35"/>
    <x v="8"/>
    <n v="29"/>
    <x v="1"/>
    <x v="1"/>
    <x v="19"/>
    <n v="175"/>
    <x v="29"/>
  </r>
  <r>
    <s v="P138"/>
    <x v="37"/>
    <n v="40"/>
    <n v="18"/>
    <n v="58"/>
    <x v="11"/>
    <n v="49"/>
    <x v="0"/>
    <x v="0"/>
    <x v="21"/>
    <n v="464"/>
    <x v="30"/>
  </r>
  <r>
    <s v="P139"/>
    <x v="38"/>
    <n v="30"/>
    <n v="15"/>
    <n v="45"/>
    <x v="9"/>
    <n v="39"/>
    <x v="0"/>
    <x v="0"/>
    <x v="11"/>
    <n v="900"/>
    <x v="31"/>
  </r>
  <r>
    <s v="P140"/>
    <x v="39"/>
    <n v="35"/>
    <n v="12"/>
    <n v="47"/>
    <x v="8"/>
    <n v="31"/>
    <x v="1"/>
    <x v="3"/>
    <x v="20"/>
    <n v="705"/>
    <x v="27"/>
  </r>
  <r>
    <s v="P141"/>
    <x v="40"/>
    <n v="25"/>
    <n v="8"/>
    <n v="33"/>
    <x v="3"/>
    <n v="28"/>
    <x v="1"/>
    <x v="1"/>
    <x v="12"/>
    <n v="330"/>
    <x v="32"/>
  </r>
  <r>
    <s v="P142"/>
    <x v="41"/>
    <n v="20"/>
    <n v="10"/>
    <n v="30"/>
    <x v="8"/>
    <n v="24"/>
    <x v="1"/>
    <x v="1"/>
    <x v="20"/>
    <n v="450"/>
    <x v="27"/>
  </r>
  <r>
    <s v="P143"/>
    <x v="42"/>
    <n v="30"/>
    <n v="12"/>
    <n v="42"/>
    <x v="1"/>
    <n v="37"/>
    <x v="0"/>
    <x v="0"/>
    <x v="11"/>
    <n v="840"/>
    <x v="28"/>
  </r>
  <r>
    <s v="P144"/>
    <x v="43"/>
    <n v="40"/>
    <n v="18"/>
    <n v="58"/>
    <x v="7"/>
    <n v="51"/>
    <x v="0"/>
    <x v="0"/>
    <x v="10"/>
    <n v="1740"/>
    <x v="11"/>
  </r>
  <r>
    <s v="P145"/>
    <x v="44"/>
    <n v="50"/>
    <n v="20"/>
    <n v="70"/>
    <x v="11"/>
    <n v="61"/>
    <x v="0"/>
    <x v="0"/>
    <x v="21"/>
    <n v="560"/>
    <x v="30"/>
  </r>
  <r>
    <s v="P146"/>
    <x v="45"/>
    <n v="25"/>
    <n v="10"/>
    <n v="35"/>
    <x v="3"/>
    <n v="28"/>
    <x v="1"/>
    <x v="2"/>
    <x v="6"/>
    <n v="525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A9D88-8E9F-454D-8BAA-1F275CB3E048}" name="PivotTable1" cacheId="74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B3:D15" firstHeaderRow="0" firstDataRow="1" firstDataCol="1" rowPageCount="1" colPageCount="1"/>
  <pivotFields count="12">
    <pivotField compact="0" outline="0" showAll="0" defaultSubtotal="0"/>
    <pivotField axis="axisRow" compact="0" outline="0" showAll="0" sortType="descending" defaultSubtotal="0">
      <items count="46">
        <item x="40"/>
        <item x="33"/>
        <item x="22"/>
        <item x="29"/>
        <item x="10"/>
        <item x="11"/>
        <item x="13"/>
        <item x="35"/>
        <item x="7"/>
        <item x="19"/>
        <item x="45"/>
        <item x="18"/>
        <item x="16"/>
        <item x="20"/>
        <item x="17"/>
        <item x="21"/>
        <item x="26"/>
        <item x="3"/>
        <item x="2"/>
        <item x="37"/>
        <item x="0"/>
        <item x="38"/>
        <item x="42"/>
        <item x="1"/>
        <item x="30"/>
        <item x="23"/>
        <item x="31"/>
        <item x="28"/>
        <item x="14"/>
        <item x="27"/>
        <item x="36"/>
        <item x="24"/>
        <item x="6"/>
        <item x="4"/>
        <item x="25"/>
        <item x="5"/>
        <item x="32"/>
        <item x="12"/>
        <item x="39"/>
        <item x="41"/>
        <item x="44"/>
        <item x="9"/>
        <item x="34"/>
        <item x="43"/>
        <item x="8"/>
        <item x="1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dataField="1" compact="0" outline="0" multipleItemSelectionAllowed="1" showAll="0" defaultSubtotal="0">
      <items count="4">
        <item x="1"/>
        <item x="2"/>
        <item x="3"/>
        <item h="1" x="0"/>
      </items>
    </pivotField>
    <pivotField dataField="1" compact="0" numFmtId="164" outline="0" showAll="0" defaultSubtotal="0">
      <items count="22">
        <item x="19"/>
        <item x="21"/>
        <item x="12"/>
        <item x="20"/>
        <item x="11"/>
        <item x="13"/>
        <item x="10"/>
        <item x="14"/>
        <item x="2"/>
        <item x="9"/>
        <item x="8"/>
        <item x="3"/>
        <item x="15"/>
        <item x="6"/>
        <item x="7"/>
        <item x="18"/>
        <item x="16"/>
        <item x="1"/>
        <item x="17"/>
        <item x="5"/>
        <item x="4"/>
        <item x="0"/>
      </items>
    </pivotField>
    <pivotField compact="0" numFmtId="164" outline="0" showAll="0" defaultSubtotal="0"/>
    <pivotField compact="0" numFmtId="164" outline="0" showAll="0" defaultSubtotal="0"/>
  </pivotFields>
  <rowFields count="1">
    <field x="1"/>
  </rowFields>
  <rowItems count="12">
    <i>
      <x v="38"/>
    </i>
    <i>
      <x v="24"/>
    </i>
    <i>
      <x v="26"/>
    </i>
    <i>
      <x v="1"/>
    </i>
    <i>
      <x v="3"/>
    </i>
    <i>
      <x v="10"/>
    </i>
    <i>
      <x v="42"/>
    </i>
    <i>
      <x v="30"/>
    </i>
    <i>
      <x v="7"/>
    </i>
    <i>
      <x v="39"/>
    </i>
    <i>
      <x/>
    </i>
    <i>
      <x v="13"/>
    </i>
  </rowItems>
  <colFields count="1">
    <field x="-2"/>
  </colFields>
  <colItems count="2">
    <i>
      <x/>
    </i>
    <i i="1">
      <x v="1"/>
    </i>
  </colItems>
  <pageFields count="1">
    <pageField fld="8" hier="-1"/>
  </pageFields>
  <dataFields count="2">
    <dataField name="Sum of Missing Inventory (Total Units)?" fld="8" baseField="0" baseItem="0"/>
    <dataField name="Sum of Cost Price _x000a_Per Unit (USD)" fld="9" baseField="0" baseItem="0" numFmtId="164"/>
  </dataFields>
  <formats count="3">
    <format dxfId="6">
      <pivotArea outline="0" fieldPosition="0">
        <references count="1">
          <reference field="4294967294" count="1" selected="0">
            <x v="1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7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1" count="1" selected="0">
            <x v="3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AFA59-6873-490C-8481-6B79E54C070D}" name="PivotTable2" cacheId="74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">
  <location ref="B22:C33" firstHeaderRow="1" firstDataRow="1" firstDataCol="1" rowPageCount="1" colPageCount="1"/>
  <pivotFields count="12">
    <pivotField compact="0" outline="0" showAll="0"/>
    <pivotField axis="axisRow" compact="0" outline="0" showAll="0" sortType="descending">
      <items count="47">
        <item x="40"/>
        <item x="33"/>
        <item x="22"/>
        <item x="29"/>
        <item x="10"/>
        <item x="11"/>
        <item x="13"/>
        <item x="35"/>
        <item x="7"/>
        <item x="19"/>
        <item x="45"/>
        <item x="18"/>
        <item x="16"/>
        <item x="20"/>
        <item x="17"/>
        <item x="21"/>
        <item x="26"/>
        <item x="3"/>
        <item x="2"/>
        <item h="1" x="37"/>
        <item x="0"/>
        <item x="38"/>
        <item x="42"/>
        <item x="1"/>
        <item x="30"/>
        <item x="23"/>
        <item x="31"/>
        <item h="1" x="28"/>
        <item x="14"/>
        <item x="27"/>
        <item x="36"/>
        <item x="24"/>
        <item x="6"/>
        <item x="4"/>
        <item x="25"/>
        <item x="5"/>
        <item x="32"/>
        <item x="12"/>
        <item x="39"/>
        <item x="41"/>
        <item h="1" x="44"/>
        <item x="9"/>
        <item x="34"/>
        <item x="43"/>
        <item x="8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axis="axisPage" dataField="1" compact="0" outline="0" multipleItemSelectionAllowed="1" showAll="0">
      <items count="14">
        <item h="1" x="10"/>
        <item h="1" x="3"/>
        <item h="1" x="8"/>
        <item h="1" x="1"/>
        <item h="1" x="9"/>
        <item h="1" x="7"/>
        <item h="1" x="5"/>
        <item x="11"/>
        <item x="0"/>
        <item x="12"/>
        <item x="6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</pivotFields>
  <rowFields count="1">
    <field x="1"/>
  </rowFields>
  <rowItems count="11">
    <i>
      <x v="33"/>
    </i>
    <i>
      <x v="18"/>
    </i>
    <i>
      <x v="6"/>
    </i>
    <i>
      <x v="16"/>
    </i>
    <i>
      <x v="37"/>
    </i>
    <i>
      <x v="32"/>
    </i>
    <i>
      <x v="31"/>
    </i>
    <i>
      <x v="41"/>
    </i>
    <i>
      <x v="20"/>
    </i>
    <i>
      <x v="15"/>
    </i>
    <i t="grand">
      <x/>
    </i>
  </rowItems>
  <colItems count="1">
    <i/>
  </colItems>
  <pageFields count="1">
    <pageField fld="5" hier="-1"/>
  </pageFields>
  <dataFields count="1">
    <dataField name="Sum of Number of _x000a_Units Sold" fld="5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DF068-AA2F-4671-BE25-963DA29114E2}" name="PivotTable1" cacheId="7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B3:C14" firstHeaderRow="1" firstDataRow="1" firstDataCol="1" rowPageCount="1" colPageCount="1"/>
  <pivotFields count="12">
    <pivotField compact="0" outline="0" showAll="0"/>
    <pivotField axis="axisRow" compact="0" outline="0" showAll="0" sortType="descending">
      <items count="47">
        <item x="40"/>
        <item x="33"/>
        <item x="22"/>
        <item x="29"/>
        <item x="10"/>
        <item x="11"/>
        <item x="13"/>
        <item x="35"/>
        <item x="7"/>
        <item x="19"/>
        <item x="45"/>
        <item x="18"/>
        <item x="16"/>
        <item x="20"/>
        <item x="17"/>
        <item x="21"/>
        <item x="26"/>
        <item x="3"/>
        <item x="2"/>
        <item x="37"/>
        <item x="0"/>
        <item x="38"/>
        <item x="42"/>
        <item x="1"/>
        <item x="30"/>
        <item x="23"/>
        <item x="31"/>
        <item x="28"/>
        <item x="14"/>
        <item x="27"/>
        <item x="36"/>
        <item x="24"/>
        <item x="6"/>
        <item x="4"/>
        <item x="25"/>
        <item x="5"/>
        <item x="32"/>
        <item x="12"/>
        <item x="39"/>
        <item x="41"/>
        <item x="44"/>
        <item x="9"/>
        <item x="34"/>
        <item x="43"/>
        <item x="8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numFmtId="164" outline="0" showAll="0"/>
    <pivotField compact="0" numFmtId="164" outline="0" showAll="0"/>
    <pivotField axis="axisPage" dataField="1" compact="0" numFmtId="164" outline="0" multipleItemSelectionAllowed="1" showAll="0">
      <items count="34">
        <item h="1" x="29"/>
        <item h="1" x="26"/>
        <item h="1" x="32"/>
        <item h="1" x="27"/>
        <item h="1" x="30"/>
        <item h="1" x="25"/>
        <item h="1" x="24"/>
        <item h="1" x="28"/>
        <item h="1" x="31"/>
        <item h="1" x="13"/>
        <item h="1" x="14"/>
        <item h="1" x="11"/>
        <item h="1" x="12"/>
        <item h="1" x="3"/>
        <item h="1" x="17"/>
        <item h="1" x="15"/>
        <item h="1" x="10"/>
        <item h="1" x="16"/>
        <item h="1" x="8"/>
        <item h="1" x="9"/>
        <item h="1" x="23"/>
        <item h="1" x="2"/>
        <item h="1" x="21"/>
        <item h="1" x="22"/>
        <item x="7"/>
        <item x="18"/>
        <item x="6"/>
        <item x="20"/>
        <item x="1"/>
        <item x="19"/>
        <item x="5"/>
        <item x="0"/>
        <item x="4"/>
        <item t="default"/>
      </items>
    </pivotField>
  </pivotFields>
  <rowFields count="1">
    <field x="1"/>
  </rowFields>
  <rowItems count="11">
    <i>
      <x v="33"/>
    </i>
    <i>
      <x v="20"/>
    </i>
    <i>
      <x v="35"/>
    </i>
    <i>
      <x v="15"/>
    </i>
    <i>
      <x v="23"/>
    </i>
    <i>
      <x v="2"/>
    </i>
    <i>
      <x v="32"/>
    </i>
    <i>
      <x v="13"/>
    </i>
    <i>
      <x v="25"/>
    </i>
    <i>
      <x v="8"/>
    </i>
    <i t="grand">
      <x/>
    </i>
  </rowItems>
  <colItems count="1">
    <i/>
  </colItems>
  <pageFields count="1">
    <pageField fld="11" hier="-1"/>
  </pageFields>
  <dataFields count="1">
    <dataField name="Sum of Revenue (USD)" fld="11" baseField="0" baseItem="0" numFmtId="164"/>
  </dataFields>
  <formats count="1">
    <format dxfId="5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3E2A3-159F-4071-A9A6-DBDA266CF461}" name="PivotTable4" cacheId="7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N21:O32" firstHeaderRow="1" firstDataRow="1" firstDataCol="1" rowPageCount="1" colPageCount="1"/>
  <pivotFields count="12">
    <pivotField compact="0" outline="0" showAll="0"/>
    <pivotField axis="axisRow" compact="0" outline="0" showAll="0" sortType="ascending">
      <items count="47">
        <item x="40"/>
        <item h="1" x="33"/>
        <item x="22"/>
        <item h="1" x="29"/>
        <item x="10"/>
        <item x="11"/>
        <item x="13"/>
        <item x="35"/>
        <item x="7"/>
        <item x="19"/>
        <item x="45"/>
        <item x="18"/>
        <item h="1" x="16"/>
        <item x="20"/>
        <item x="17"/>
        <item x="21"/>
        <item x="26"/>
        <item x="3"/>
        <item x="2"/>
        <item x="37"/>
        <item x="0"/>
        <item x="38"/>
        <item x="42"/>
        <item x="1"/>
        <item x="30"/>
        <item x="23"/>
        <item x="31"/>
        <item x="28"/>
        <item x="14"/>
        <item x="27"/>
        <item h="1" x="36"/>
        <item x="24"/>
        <item x="6"/>
        <item x="4"/>
        <item x="25"/>
        <item x="5"/>
        <item x="32"/>
        <item x="12"/>
        <item h="1" x="39"/>
        <item h="1" x="41"/>
        <item x="44"/>
        <item x="9"/>
        <item x="34"/>
        <item x="43"/>
        <item x="8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axis="axisPage" dataField="1" compact="0" outline="0" multipleItemSelectionAllowed="1" showAll="0">
      <items count="14">
        <item x="10"/>
        <item x="3"/>
        <item x="8"/>
        <item h="1" x="1"/>
        <item h="1" x="9"/>
        <item h="1" x="7"/>
        <item h="1" x="5"/>
        <item h="1" x="11"/>
        <item h="1" x="0"/>
        <item h="1" x="12"/>
        <item h="1" x="6"/>
        <item h="1" x="2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</pivotFields>
  <rowFields count="1">
    <field x="1"/>
  </rowFields>
  <rowItems count="11">
    <i>
      <x v="9"/>
    </i>
    <i>
      <x v="7"/>
    </i>
    <i>
      <x v="10"/>
    </i>
    <i>
      <x v="11"/>
    </i>
    <i>
      <x v="4"/>
    </i>
    <i>
      <x/>
    </i>
    <i>
      <x v="17"/>
    </i>
    <i>
      <x v="42"/>
    </i>
    <i>
      <x v="24"/>
    </i>
    <i>
      <x v="13"/>
    </i>
    <i t="grand">
      <x/>
    </i>
  </rowItems>
  <colItems count="1">
    <i/>
  </colItems>
  <pageFields count="1">
    <pageField fld="5" hier="-1"/>
  </pageFields>
  <dataFields count="1">
    <dataField name="Sum of Number of _x000a_Units Sold" fld="5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641F2-02AB-4BB5-BE16-0CD7837360DD}" name="PivotTable3" cacheId="7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N3:O14" firstHeaderRow="1" firstDataRow="1" firstDataCol="1" rowPageCount="1" colPageCount="1"/>
  <pivotFields count="12">
    <pivotField compact="0" outline="0" showAll="0"/>
    <pivotField axis="axisRow" compact="0" outline="0" showAll="0" sortType="ascending">
      <items count="47">
        <item x="40"/>
        <item x="33"/>
        <item x="22"/>
        <item x="29"/>
        <item x="10"/>
        <item x="11"/>
        <item x="13"/>
        <item x="35"/>
        <item x="7"/>
        <item x="19"/>
        <item x="45"/>
        <item x="18"/>
        <item x="16"/>
        <item x="20"/>
        <item x="17"/>
        <item x="21"/>
        <item x="26"/>
        <item x="3"/>
        <item x="2"/>
        <item x="37"/>
        <item x="0"/>
        <item x="38"/>
        <item x="42"/>
        <item x="1"/>
        <item x="30"/>
        <item x="23"/>
        <item x="31"/>
        <item x="28"/>
        <item x="14"/>
        <item x="27"/>
        <item x="36"/>
        <item x="24"/>
        <item x="6"/>
        <item x="4"/>
        <item x="25"/>
        <item x="5"/>
        <item x="32"/>
        <item x="12"/>
        <item x="39"/>
        <item x="41"/>
        <item x="44"/>
        <item x="9"/>
        <item x="34"/>
        <item x="43"/>
        <item x="8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axis="axisPage" dataField="1" compact="0" numFmtId="164" outline="0" multipleItemSelectionAllowed="1" showAll="0">
      <items count="34">
        <item x="29"/>
        <item x="26"/>
        <item x="32"/>
        <item x="27"/>
        <item x="30"/>
        <item x="25"/>
        <item h="1" x="24"/>
        <item h="1" x="28"/>
        <item h="1" x="31"/>
        <item h="1" x="13"/>
        <item h="1" x="14"/>
        <item h="1" x="11"/>
        <item h="1" x="12"/>
        <item h="1" x="3"/>
        <item h="1" x="17"/>
        <item h="1" x="15"/>
        <item h="1" x="10"/>
        <item h="1" x="16"/>
        <item h="1" x="8"/>
        <item h="1" x="9"/>
        <item h="1" x="23"/>
        <item h="1" x="2"/>
        <item h="1" x="21"/>
        <item h="1" x="22"/>
        <item h="1" x="7"/>
        <item h="1" x="18"/>
        <item h="1" x="6"/>
        <item h="1" x="20"/>
        <item h="1" x="1"/>
        <item h="1" x="19"/>
        <item h="1" x="5"/>
        <item h="1" x="0"/>
        <item h="1" x="4"/>
        <item t="default"/>
      </items>
    </pivotField>
  </pivotFields>
  <rowFields count="1">
    <field x="1"/>
  </rowFields>
  <rowItems count="11">
    <i>
      <x v="30"/>
    </i>
    <i>
      <x v="36"/>
    </i>
    <i>
      <x/>
    </i>
    <i>
      <x v="1"/>
    </i>
    <i>
      <x v="38"/>
    </i>
    <i>
      <x v="39"/>
    </i>
    <i>
      <x v="42"/>
    </i>
    <i>
      <x v="19"/>
    </i>
    <i>
      <x v="40"/>
    </i>
    <i>
      <x v="26"/>
    </i>
    <i t="grand">
      <x/>
    </i>
  </rowItems>
  <colItems count="1">
    <i/>
  </colItems>
  <pageFields count="1">
    <pageField fld="11" hier="-1"/>
  </pageFields>
  <dataFields count="1">
    <dataField name="Sum of Revenue (USD)" fld="11" baseField="0" baseItem="0" numFmtId="164"/>
  </dataFields>
  <formats count="1">
    <format dxfId="4">
      <pivotArea outline="0" collapsedLevelsAreSubtotals="1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32DFD-3DD1-46B1-BDC9-0312D4FD6F4E}" name="PivotTable1" cacheId="74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B2:G49" firstHeaderRow="0" firstDataRow="1" firstDataCol="1"/>
  <pivotFields count="12">
    <pivotField compact="0" outline="0" showAll="0"/>
    <pivotField axis="axisRow" compact="0" outline="0" showAll="0">
      <items count="47">
        <item x="40"/>
        <item x="33"/>
        <item x="22"/>
        <item x="29"/>
        <item x="10"/>
        <item x="11"/>
        <item x="13"/>
        <item x="35"/>
        <item x="7"/>
        <item x="19"/>
        <item x="45"/>
        <item x="18"/>
        <item x="16"/>
        <item x="20"/>
        <item x="17"/>
        <item x="21"/>
        <item x="26"/>
        <item x="3"/>
        <item x="2"/>
        <item x="37"/>
        <item x="0"/>
        <item x="38"/>
        <item x="42"/>
        <item x="1"/>
        <item x="30"/>
        <item x="23"/>
        <item x="31"/>
        <item x="28"/>
        <item x="14"/>
        <item x="27"/>
        <item x="36"/>
        <item x="24"/>
        <item x="6"/>
        <item x="4"/>
        <item x="25"/>
        <item x="5"/>
        <item x="32"/>
        <item x="12"/>
        <item x="39"/>
        <item x="41"/>
        <item x="44"/>
        <item x="9"/>
        <item x="34"/>
        <item x="43"/>
        <item x="8"/>
        <item x="15"/>
        <item t="default"/>
      </items>
    </pivotField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dataField="1" compact="0" numFmtId="164" outline="0" showAll="0"/>
    <pivotField dataField="1" compact="0" numFmtId="164" outline="0" showAll="0"/>
  </pivotFields>
  <rowFields count="1">
    <field x="1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Opening _x000a_Stock" fld="2" baseField="0" baseItem="0"/>
    <dataField name="Sum of Units On Hand" fld="4" baseField="0" baseItem="0"/>
    <dataField name="Sum of Cost Price _x000a_Per Unit (USD)" fld="9" baseField="0" baseItem="0" numFmtId="164"/>
    <dataField name="Sum of Cost Price_x000a_ Total (USD)" fld="10" baseField="0" baseItem="0" numFmtId="164"/>
    <dataField name="Sum of Revenue (USD)" fld="11" baseField="0" baseItem="0" numFmtId="164"/>
  </dataFields>
  <formats count="4">
    <format dxfId="0">
      <pivotArea outline="0" fieldPosition="0">
        <references count="1">
          <reference field="4294967294" count="1" selected="0">
            <x v="2"/>
          </reference>
        </references>
      </pivotArea>
    </format>
    <format dxfId="1">
      <pivotArea outline="0" fieldPosition="0">
        <references count="1">
          <reference field="4294967294" count="1" selected="0">
            <x v="3"/>
          </reference>
        </references>
      </pivotArea>
    </format>
    <format dxfId="2">
      <pivotArea outline="0" fieldPosition="0">
        <references count="1">
          <reference field="4294967294" count="1" selected="0">
            <x v="4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C0615-CE30-4CA4-935F-46D8A07AA8B2}" name="PivotTable2" cacheId="7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B2:E13" firstHeaderRow="0" firstDataRow="1" firstDataCol="1"/>
  <pivotFields count="12">
    <pivotField compact="0" outline="0" showAll="0"/>
    <pivotField axis="axisRow" compact="0" outline="0" showAll="0" sortType="ascending">
      <items count="47">
        <item x="40"/>
        <item x="33"/>
        <item x="22"/>
        <item x="29"/>
        <item x="10"/>
        <item x="11"/>
        <item x="13"/>
        <item x="35"/>
        <item x="7"/>
        <item x="19"/>
        <item h="1" x="45"/>
        <item h="1" x="18"/>
        <item h="1" x="16"/>
        <item h="1" x="20"/>
        <item h="1" x="17"/>
        <item h="1" x="21"/>
        <item h="1" x="26"/>
        <item h="1" x="3"/>
        <item h="1" x="2"/>
        <item h="1" x="37"/>
        <item h="1" x="0"/>
        <item h="1" x="38"/>
        <item h="1" x="42"/>
        <item h="1" x="1"/>
        <item h="1" x="30"/>
        <item h="1" x="23"/>
        <item h="1" x="31"/>
        <item h="1" x="28"/>
        <item h="1" x="14"/>
        <item h="1" x="27"/>
        <item h="1" x="36"/>
        <item h="1" x="24"/>
        <item h="1" x="6"/>
        <item h="1" x="4"/>
        <item h="1" x="25"/>
        <item h="1" x="5"/>
        <item h="1" x="32"/>
        <item h="1" x="12"/>
        <item h="1" x="39"/>
        <item h="1" x="41"/>
        <item h="1" x="44"/>
        <item h="1" x="9"/>
        <item h="1" x="34"/>
        <item h="1" x="43"/>
        <item h="1" x="8"/>
        <item h="1" x="15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s On Hand" fld="4" baseField="0" baseItem="0"/>
    <dataField name="Sum of Number of _x000a_Units Sold" fld="5" baseField="0" baseItem="0"/>
    <dataField name="Sum of Hand-In-_x000a_Stock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7A2-5E74-4E54-9CA6-3EA8F53C3D03}">
  <dimension ref="B2:AB53"/>
  <sheetViews>
    <sheetView showGridLines="0" tabSelected="1" topLeftCell="E5" workbookViewId="0">
      <selection activeCell="I7" sqref="I7"/>
    </sheetView>
  </sheetViews>
  <sheetFormatPr defaultColWidth="8.85546875" defaultRowHeight="15" customHeight="1"/>
  <cols>
    <col min="1" max="1" width="3.5703125" style="1" customWidth="1"/>
    <col min="2" max="2" width="12.5703125" style="1" customWidth="1"/>
    <col min="3" max="3" width="25.42578125" style="1" customWidth="1"/>
    <col min="4" max="4" width="10.85546875" style="1" customWidth="1"/>
    <col min="5" max="6" width="12" style="1" customWidth="1"/>
    <col min="7" max="7" width="11.7109375" style="1" customWidth="1"/>
    <col min="8" max="8" width="10.5703125" style="1" customWidth="1"/>
    <col min="9" max="9" width="22.5703125" style="1" customWidth="1"/>
    <col min="10" max="10" width="14.140625" style="1" customWidth="1"/>
    <col min="11" max="11" width="15.140625" style="1" customWidth="1"/>
    <col min="12" max="12" width="13.7109375" style="1" customWidth="1"/>
    <col min="13" max="13" width="14" style="1" customWidth="1"/>
    <col min="14" max="14" width="13.42578125" style="1" customWidth="1"/>
    <col min="15" max="16384" width="8.85546875" style="1"/>
  </cols>
  <sheetData>
    <row r="2" spans="2:28" ht="18.75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spans="2:28" ht="18.75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2:28"/>
    <row r="6" spans="2:28" ht="41.25" customHeight="1">
      <c r="B6" s="8" t="s">
        <v>2</v>
      </c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  <c r="H6" s="9" t="s">
        <v>8</v>
      </c>
      <c r="I6" s="9" t="s">
        <v>9</v>
      </c>
      <c r="J6" s="9" t="s">
        <v>10</v>
      </c>
      <c r="K6" s="9" t="s">
        <v>11</v>
      </c>
      <c r="L6" s="10" t="s">
        <v>12</v>
      </c>
      <c r="M6" s="10" t="s">
        <v>13</v>
      </c>
    </row>
    <row r="7" spans="2:28" ht="15.75" customHeight="1">
      <c r="B7" s="4" t="s">
        <v>14</v>
      </c>
      <c r="C7" s="4" t="s">
        <v>15</v>
      </c>
      <c r="D7" s="4">
        <v>50</v>
      </c>
      <c r="E7" s="4">
        <v>20</v>
      </c>
      <c r="F7" s="4">
        <f>D7+E7</f>
        <v>70</v>
      </c>
      <c r="G7" s="4">
        <v>10</v>
      </c>
      <c r="H7" s="4">
        <v>60</v>
      </c>
      <c r="I7" s="7" t="str">
        <f>IF(F7-G7=H7, "Yes", "No - Missing Inventory")</f>
        <v>Yes</v>
      </c>
      <c r="J7" s="7" t="str">
        <f>IF(I7="Yes", "/", ((F7-G7)-H7))</f>
        <v>/</v>
      </c>
      <c r="K7" s="6">
        <v>1200</v>
      </c>
      <c r="L7" s="5">
        <f>F7*K7</f>
        <v>84000</v>
      </c>
      <c r="M7" s="6">
        <f>G7*K7</f>
        <v>12000</v>
      </c>
      <c r="P7" s="1" t="s">
        <v>16</v>
      </c>
    </row>
    <row r="8" spans="2:28" ht="12" customHeight="1">
      <c r="B8" s="4" t="s">
        <v>17</v>
      </c>
      <c r="C8" s="4" t="s">
        <v>18</v>
      </c>
      <c r="D8" s="4">
        <v>40</v>
      </c>
      <c r="E8" s="4">
        <v>15</v>
      </c>
      <c r="F8" s="4">
        <f t="shared" ref="F8:F52" si="0">D8+E8</f>
        <v>55</v>
      </c>
      <c r="G8" s="4">
        <v>5</v>
      </c>
      <c r="H8" s="4">
        <v>50</v>
      </c>
      <c r="I8" s="7" t="str">
        <f t="shared" ref="I8:I52" si="1">IF(F8-G8=H8, "Yes", "No - Missing Inventory")</f>
        <v>Yes</v>
      </c>
      <c r="J8" s="7" t="str">
        <f t="shared" ref="J8:J52" si="2">IF(I8="Yes", "/", ((F8-G8)-H8))</f>
        <v>/</v>
      </c>
      <c r="K8" s="6">
        <v>500</v>
      </c>
      <c r="L8" s="5">
        <f t="shared" ref="L8:L52" si="3">F8*K8</f>
        <v>27500</v>
      </c>
      <c r="M8" s="6">
        <f t="shared" ref="M8:M52" si="4">G8*K8</f>
        <v>2500</v>
      </c>
      <c r="Q8" s="20" t="s">
        <v>19</v>
      </c>
      <c r="R8" s="20"/>
      <c r="S8" s="20"/>
      <c r="T8" s="20"/>
      <c r="U8" s="20"/>
      <c r="V8" s="20"/>
      <c r="W8" s="20"/>
      <c r="X8" s="20"/>
    </row>
    <row r="9" spans="2:28" ht="12.75" customHeight="1">
      <c r="B9" s="4" t="s">
        <v>20</v>
      </c>
      <c r="C9" s="4" t="s">
        <v>21</v>
      </c>
      <c r="D9" s="4">
        <v>60</v>
      </c>
      <c r="E9" s="4">
        <v>25</v>
      </c>
      <c r="F9" s="4">
        <f t="shared" si="0"/>
        <v>85</v>
      </c>
      <c r="G9" s="4">
        <v>15</v>
      </c>
      <c r="H9" s="4">
        <v>70</v>
      </c>
      <c r="I9" s="7" t="str">
        <f t="shared" si="1"/>
        <v>Yes</v>
      </c>
      <c r="J9" s="7" t="str">
        <f t="shared" si="2"/>
        <v>/</v>
      </c>
      <c r="K9" s="6">
        <v>50</v>
      </c>
      <c r="L9" s="5">
        <f t="shared" si="3"/>
        <v>4250</v>
      </c>
      <c r="M9" s="6">
        <f t="shared" si="4"/>
        <v>750</v>
      </c>
      <c r="Q9" s="1" t="s">
        <v>22</v>
      </c>
    </row>
    <row r="10" spans="2:28" ht="13.5" customHeight="1">
      <c r="B10" s="4" t="s">
        <v>23</v>
      </c>
      <c r="C10" s="4" t="s">
        <v>24</v>
      </c>
      <c r="D10" s="4">
        <v>30</v>
      </c>
      <c r="E10" s="4">
        <v>10</v>
      </c>
      <c r="F10" s="4">
        <f t="shared" si="0"/>
        <v>40</v>
      </c>
      <c r="G10" s="4">
        <v>3</v>
      </c>
      <c r="H10" s="4">
        <v>37</v>
      </c>
      <c r="I10" s="7" t="str">
        <f t="shared" si="1"/>
        <v>Yes</v>
      </c>
      <c r="J10" s="7" t="str">
        <f t="shared" si="2"/>
        <v>/</v>
      </c>
      <c r="K10" s="6">
        <v>100</v>
      </c>
      <c r="L10" s="5">
        <f t="shared" si="3"/>
        <v>4000</v>
      </c>
      <c r="M10" s="6">
        <f t="shared" si="4"/>
        <v>300</v>
      </c>
      <c r="Q10" s="1" t="s">
        <v>25</v>
      </c>
    </row>
    <row r="11" spans="2:28" ht="15" customHeight="1">
      <c r="B11" s="4" t="s">
        <v>26</v>
      </c>
      <c r="C11" s="4" t="s">
        <v>27</v>
      </c>
      <c r="D11" s="4">
        <v>70</v>
      </c>
      <c r="E11" s="4">
        <v>30</v>
      </c>
      <c r="F11" s="4">
        <f t="shared" si="0"/>
        <v>100</v>
      </c>
      <c r="G11" s="4">
        <v>20</v>
      </c>
      <c r="H11" s="4">
        <v>80</v>
      </c>
      <c r="I11" s="7" t="str">
        <f t="shared" si="1"/>
        <v>Yes</v>
      </c>
      <c r="J11" s="7" t="str">
        <f t="shared" si="2"/>
        <v>/</v>
      </c>
      <c r="K11" s="6">
        <v>900</v>
      </c>
      <c r="L11" s="5">
        <f t="shared" si="3"/>
        <v>90000</v>
      </c>
      <c r="M11" s="6">
        <f t="shared" si="4"/>
        <v>18000</v>
      </c>
      <c r="Q11" s="20" t="s">
        <v>28</v>
      </c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2:28" ht="12.75" customHeight="1">
      <c r="B12" s="4" t="s">
        <v>29</v>
      </c>
      <c r="C12" s="4" t="s">
        <v>30</v>
      </c>
      <c r="D12" s="4">
        <v>45</v>
      </c>
      <c r="E12" s="4">
        <v>18</v>
      </c>
      <c r="F12" s="4">
        <f t="shared" si="0"/>
        <v>63</v>
      </c>
      <c r="G12" s="4">
        <v>8</v>
      </c>
      <c r="H12" s="4">
        <v>55</v>
      </c>
      <c r="I12" s="7" t="str">
        <f t="shared" si="1"/>
        <v>Yes</v>
      </c>
      <c r="J12" s="7" t="str">
        <f t="shared" si="2"/>
        <v>/</v>
      </c>
      <c r="K12" s="6">
        <v>700</v>
      </c>
      <c r="L12" s="5">
        <f t="shared" si="3"/>
        <v>44100</v>
      </c>
      <c r="M12" s="6">
        <f t="shared" si="4"/>
        <v>5600</v>
      </c>
    </row>
    <row r="13" spans="2:28" ht="12.75" customHeight="1">
      <c r="B13" s="4" t="s">
        <v>31</v>
      </c>
      <c r="C13" s="4" t="s">
        <v>32</v>
      </c>
      <c r="D13" s="4">
        <v>55</v>
      </c>
      <c r="E13" s="4">
        <v>22</v>
      </c>
      <c r="F13" s="4">
        <f t="shared" si="0"/>
        <v>77</v>
      </c>
      <c r="G13" s="4">
        <v>12</v>
      </c>
      <c r="H13" s="4">
        <v>65</v>
      </c>
      <c r="I13" s="7" t="str">
        <f t="shared" si="1"/>
        <v>Yes</v>
      </c>
      <c r="J13" s="7" t="str">
        <f t="shared" si="2"/>
        <v>/</v>
      </c>
      <c r="K13" s="6">
        <v>150</v>
      </c>
      <c r="L13" s="5">
        <f t="shared" si="3"/>
        <v>11550</v>
      </c>
      <c r="M13" s="6">
        <f t="shared" si="4"/>
        <v>1800</v>
      </c>
    </row>
    <row r="14" spans="2:28" ht="15" customHeight="1">
      <c r="B14" s="4" t="s">
        <v>33</v>
      </c>
      <c r="C14" s="4" t="s">
        <v>34</v>
      </c>
      <c r="D14" s="4">
        <v>25</v>
      </c>
      <c r="E14" s="4">
        <v>12</v>
      </c>
      <c r="F14" s="4">
        <f t="shared" si="0"/>
        <v>37</v>
      </c>
      <c r="G14" s="4">
        <v>5</v>
      </c>
      <c r="H14" s="4">
        <v>32</v>
      </c>
      <c r="I14" s="7" t="str">
        <f t="shared" si="1"/>
        <v>Yes</v>
      </c>
      <c r="J14" s="7" t="str">
        <f t="shared" si="2"/>
        <v>/</v>
      </c>
      <c r="K14" s="6">
        <v>200</v>
      </c>
      <c r="L14" s="5">
        <f t="shared" si="3"/>
        <v>7400</v>
      </c>
      <c r="M14" s="6">
        <f t="shared" si="4"/>
        <v>1000</v>
      </c>
    </row>
    <row r="15" spans="2:28" ht="13.5" customHeight="1">
      <c r="B15" s="4" t="s">
        <v>35</v>
      </c>
      <c r="C15" s="4" t="s">
        <v>36</v>
      </c>
      <c r="D15" s="4">
        <v>35</v>
      </c>
      <c r="E15" s="4">
        <v>15</v>
      </c>
      <c r="F15" s="4">
        <f t="shared" si="0"/>
        <v>50</v>
      </c>
      <c r="G15" s="4">
        <v>7</v>
      </c>
      <c r="H15" s="4">
        <v>43</v>
      </c>
      <c r="I15" s="7" t="str">
        <f t="shared" si="1"/>
        <v>Yes</v>
      </c>
      <c r="J15" s="7" t="str">
        <f t="shared" si="2"/>
        <v>/</v>
      </c>
      <c r="K15" s="6">
        <v>80</v>
      </c>
      <c r="L15" s="5">
        <f t="shared" si="3"/>
        <v>4000</v>
      </c>
      <c r="M15" s="6">
        <f t="shared" si="4"/>
        <v>560</v>
      </c>
    </row>
    <row r="16" spans="2:28" ht="16.5" customHeight="1">
      <c r="B16" s="4" t="s">
        <v>37</v>
      </c>
      <c r="C16" s="4" t="s">
        <v>38</v>
      </c>
      <c r="D16" s="4">
        <v>40</v>
      </c>
      <c r="E16" s="4">
        <v>20</v>
      </c>
      <c r="F16" s="4">
        <f t="shared" si="0"/>
        <v>60</v>
      </c>
      <c r="G16" s="4">
        <v>10</v>
      </c>
      <c r="H16" s="4">
        <v>50</v>
      </c>
      <c r="I16" s="7" t="str">
        <f t="shared" si="1"/>
        <v>Yes</v>
      </c>
      <c r="J16" s="7" t="str">
        <f t="shared" si="2"/>
        <v>/</v>
      </c>
      <c r="K16" s="6">
        <v>60</v>
      </c>
      <c r="L16" s="5">
        <f t="shared" si="3"/>
        <v>3600</v>
      </c>
      <c r="M16" s="6">
        <f t="shared" si="4"/>
        <v>600</v>
      </c>
    </row>
    <row r="17" spans="2:13" ht="14.25" customHeight="1">
      <c r="B17" s="4" t="s">
        <v>39</v>
      </c>
      <c r="C17" s="4" t="s">
        <v>40</v>
      </c>
      <c r="D17" s="4">
        <v>20</v>
      </c>
      <c r="E17" s="4">
        <v>8</v>
      </c>
      <c r="F17" s="4">
        <f t="shared" si="0"/>
        <v>28</v>
      </c>
      <c r="G17" s="4">
        <v>3</v>
      </c>
      <c r="H17" s="4">
        <v>25</v>
      </c>
      <c r="I17" s="7" t="str">
        <f t="shared" si="1"/>
        <v>Yes</v>
      </c>
      <c r="J17" s="7" t="str">
        <f t="shared" si="2"/>
        <v>/</v>
      </c>
      <c r="K17" s="6">
        <v>150</v>
      </c>
      <c r="L17" s="5">
        <f t="shared" si="3"/>
        <v>4200</v>
      </c>
      <c r="M17" s="6">
        <f t="shared" si="4"/>
        <v>450</v>
      </c>
    </row>
    <row r="18" spans="2:13" ht="18.75" customHeight="1">
      <c r="B18" s="4" t="s">
        <v>41</v>
      </c>
      <c r="C18" s="4" t="s">
        <v>42</v>
      </c>
      <c r="D18" s="4">
        <v>30</v>
      </c>
      <c r="E18" s="4">
        <v>15</v>
      </c>
      <c r="F18" s="4">
        <f t="shared" si="0"/>
        <v>45</v>
      </c>
      <c r="G18" s="4">
        <v>7</v>
      </c>
      <c r="H18" s="4">
        <v>38</v>
      </c>
      <c r="I18" s="7" t="str">
        <f t="shared" si="1"/>
        <v>Yes</v>
      </c>
      <c r="J18" s="7" t="str">
        <f t="shared" si="2"/>
        <v>/</v>
      </c>
      <c r="K18" s="6">
        <v>30</v>
      </c>
      <c r="L18" s="5">
        <f t="shared" si="3"/>
        <v>1350</v>
      </c>
      <c r="M18" s="6">
        <f t="shared" si="4"/>
        <v>210</v>
      </c>
    </row>
    <row r="19" spans="2:13" ht="15.75" customHeight="1">
      <c r="B19" s="4" t="s">
        <v>43</v>
      </c>
      <c r="C19" s="4" t="s">
        <v>44</v>
      </c>
      <c r="D19" s="4">
        <v>50</v>
      </c>
      <c r="E19" s="4">
        <v>25</v>
      </c>
      <c r="F19" s="4">
        <f t="shared" si="0"/>
        <v>75</v>
      </c>
      <c r="G19" s="4">
        <v>12</v>
      </c>
      <c r="H19" s="4">
        <v>63</v>
      </c>
      <c r="I19" s="7" t="str">
        <f t="shared" si="1"/>
        <v>Yes</v>
      </c>
      <c r="J19" s="7" t="str">
        <f t="shared" si="2"/>
        <v>/</v>
      </c>
      <c r="K19" s="6">
        <v>20</v>
      </c>
      <c r="L19" s="5">
        <f t="shared" si="3"/>
        <v>1500</v>
      </c>
      <c r="M19" s="6">
        <f t="shared" si="4"/>
        <v>240</v>
      </c>
    </row>
    <row r="20" spans="2:13" ht="15.75" customHeight="1">
      <c r="B20" s="4" t="s">
        <v>45</v>
      </c>
      <c r="C20" s="4" t="s">
        <v>46</v>
      </c>
      <c r="D20" s="4">
        <v>60</v>
      </c>
      <c r="E20" s="4">
        <v>30</v>
      </c>
      <c r="F20" s="4">
        <f t="shared" si="0"/>
        <v>90</v>
      </c>
      <c r="G20" s="4">
        <v>15</v>
      </c>
      <c r="H20" s="4">
        <v>75</v>
      </c>
      <c r="I20" s="7" t="str">
        <f t="shared" si="1"/>
        <v>Yes</v>
      </c>
      <c r="J20" s="7" t="str">
        <f t="shared" si="2"/>
        <v>/</v>
      </c>
      <c r="K20" s="6">
        <v>10</v>
      </c>
      <c r="L20" s="5">
        <f t="shared" si="3"/>
        <v>900</v>
      </c>
      <c r="M20" s="6">
        <f t="shared" si="4"/>
        <v>150</v>
      </c>
    </row>
    <row r="21" spans="2:13" ht="16.5" customHeight="1">
      <c r="B21" s="4" t="s">
        <v>47</v>
      </c>
      <c r="C21" s="4" t="s">
        <v>48</v>
      </c>
      <c r="D21" s="4">
        <v>40</v>
      </c>
      <c r="E21" s="4">
        <v>20</v>
      </c>
      <c r="F21" s="4">
        <f t="shared" si="0"/>
        <v>60</v>
      </c>
      <c r="G21" s="4">
        <v>8</v>
      </c>
      <c r="H21" s="4">
        <v>52</v>
      </c>
      <c r="I21" s="7" t="str">
        <f t="shared" si="1"/>
        <v>Yes</v>
      </c>
      <c r="J21" s="7" t="str">
        <f t="shared" si="2"/>
        <v>/</v>
      </c>
      <c r="K21" s="6">
        <v>25</v>
      </c>
      <c r="L21" s="5">
        <f t="shared" si="3"/>
        <v>1500</v>
      </c>
      <c r="M21" s="6">
        <f t="shared" si="4"/>
        <v>200</v>
      </c>
    </row>
    <row r="22" spans="2:13" ht="12.75" customHeight="1">
      <c r="B22" s="4" t="s">
        <v>49</v>
      </c>
      <c r="C22" s="4" t="s">
        <v>50</v>
      </c>
      <c r="D22" s="4">
        <v>35</v>
      </c>
      <c r="E22" s="4">
        <v>15</v>
      </c>
      <c r="F22" s="4">
        <f t="shared" si="0"/>
        <v>50</v>
      </c>
      <c r="G22" s="4">
        <v>5</v>
      </c>
      <c r="H22" s="4">
        <v>45</v>
      </c>
      <c r="I22" s="7" t="str">
        <f t="shared" si="1"/>
        <v>Yes</v>
      </c>
      <c r="J22" s="7" t="str">
        <f t="shared" si="2"/>
        <v>/</v>
      </c>
      <c r="K22" s="6">
        <v>40</v>
      </c>
      <c r="L22" s="5">
        <f t="shared" si="3"/>
        <v>2000</v>
      </c>
      <c r="M22" s="6">
        <f t="shared" si="4"/>
        <v>200</v>
      </c>
    </row>
    <row r="23" spans="2:13" ht="15" customHeight="1">
      <c r="B23" s="4" t="s">
        <v>51</v>
      </c>
      <c r="C23" s="4" t="s">
        <v>52</v>
      </c>
      <c r="D23" s="4">
        <v>25</v>
      </c>
      <c r="E23" s="4">
        <v>10</v>
      </c>
      <c r="F23" s="4">
        <f t="shared" si="0"/>
        <v>35</v>
      </c>
      <c r="G23" s="4">
        <v>4</v>
      </c>
      <c r="H23" s="4">
        <v>31</v>
      </c>
      <c r="I23" s="7" t="str">
        <f t="shared" si="1"/>
        <v>Yes</v>
      </c>
      <c r="J23" s="7" t="str">
        <f t="shared" si="2"/>
        <v>/</v>
      </c>
      <c r="K23" s="6">
        <v>100</v>
      </c>
      <c r="L23" s="5">
        <f t="shared" si="3"/>
        <v>3500</v>
      </c>
      <c r="M23" s="6">
        <f t="shared" si="4"/>
        <v>400</v>
      </c>
    </row>
    <row r="24" spans="2:13" ht="17.25" customHeight="1">
      <c r="B24" s="4" t="s">
        <v>53</v>
      </c>
      <c r="C24" s="4" t="s">
        <v>54</v>
      </c>
      <c r="D24" s="4">
        <v>30</v>
      </c>
      <c r="E24" s="4">
        <v>12</v>
      </c>
      <c r="F24" s="4">
        <f t="shared" si="0"/>
        <v>42</v>
      </c>
      <c r="G24" s="4">
        <v>6</v>
      </c>
      <c r="H24" s="4">
        <v>36</v>
      </c>
      <c r="I24" s="7" t="str">
        <f t="shared" si="1"/>
        <v>Yes</v>
      </c>
      <c r="J24" s="7" t="str">
        <f t="shared" si="2"/>
        <v>/</v>
      </c>
      <c r="K24" s="6">
        <v>80</v>
      </c>
      <c r="L24" s="5">
        <f t="shared" si="3"/>
        <v>3360</v>
      </c>
      <c r="M24" s="6">
        <f t="shared" si="4"/>
        <v>480</v>
      </c>
    </row>
    <row r="25" spans="2:13">
      <c r="B25" s="4" t="s">
        <v>55</v>
      </c>
      <c r="C25" s="4" t="s">
        <v>56</v>
      </c>
      <c r="D25" s="4">
        <v>20</v>
      </c>
      <c r="E25" s="4">
        <v>8</v>
      </c>
      <c r="F25" s="4">
        <f t="shared" si="0"/>
        <v>28</v>
      </c>
      <c r="G25" s="4">
        <v>3</v>
      </c>
      <c r="H25" s="4">
        <v>25</v>
      </c>
      <c r="I25" s="7" t="str">
        <f t="shared" si="1"/>
        <v>Yes</v>
      </c>
      <c r="J25" s="7" t="str">
        <f t="shared" si="2"/>
        <v>/</v>
      </c>
      <c r="K25" s="6">
        <v>120</v>
      </c>
      <c r="L25" s="5">
        <f t="shared" si="3"/>
        <v>3360</v>
      </c>
      <c r="M25" s="6">
        <f t="shared" si="4"/>
        <v>360</v>
      </c>
    </row>
    <row r="26" spans="2:13">
      <c r="B26" s="4" t="s">
        <v>57</v>
      </c>
      <c r="C26" s="4" t="s">
        <v>58</v>
      </c>
      <c r="D26" s="4">
        <v>15</v>
      </c>
      <c r="E26" s="4">
        <v>6</v>
      </c>
      <c r="F26" s="4">
        <f t="shared" si="0"/>
        <v>21</v>
      </c>
      <c r="G26" s="4">
        <v>2</v>
      </c>
      <c r="H26" s="4">
        <v>19</v>
      </c>
      <c r="I26" s="7" t="str">
        <f t="shared" si="1"/>
        <v>Yes</v>
      </c>
      <c r="J26" s="7" t="str">
        <f t="shared" si="2"/>
        <v>/</v>
      </c>
      <c r="K26" s="6">
        <v>200</v>
      </c>
      <c r="L26" s="5">
        <f t="shared" si="3"/>
        <v>4200</v>
      </c>
      <c r="M26" s="6">
        <f t="shared" si="4"/>
        <v>400</v>
      </c>
    </row>
    <row r="27" spans="2:13" ht="15.75" customHeight="1">
      <c r="B27" s="4" t="s">
        <v>59</v>
      </c>
      <c r="C27" s="4" t="s">
        <v>60</v>
      </c>
      <c r="D27" s="4">
        <v>25</v>
      </c>
      <c r="E27" s="4">
        <v>10</v>
      </c>
      <c r="F27" s="4">
        <f t="shared" si="0"/>
        <v>35</v>
      </c>
      <c r="G27" s="4">
        <v>4</v>
      </c>
      <c r="H27" s="4">
        <v>29</v>
      </c>
      <c r="I27" s="7" t="str">
        <f t="shared" si="1"/>
        <v>No - Missing Inventory</v>
      </c>
      <c r="J27" s="7">
        <f t="shared" si="2"/>
        <v>2</v>
      </c>
      <c r="K27" s="6">
        <v>400</v>
      </c>
      <c r="L27" s="5">
        <f t="shared" si="3"/>
        <v>14000</v>
      </c>
      <c r="M27" s="6">
        <f t="shared" si="4"/>
        <v>1600</v>
      </c>
    </row>
    <row r="28" spans="2:13">
      <c r="B28" s="4" t="s">
        <v>61</v>
      </c>
      <c r="C28" s="4" t="s">
        <v>62</v>
      </c>
      <c r="D28" s="4">
        <v>40</v>
      </c>
      <c r="E28" s="4">
        <v>18</v>
      </c>
      <c r="F28" s="4">
        <f t="shared" si="0"/>
        <v>58</v>
      </c>
      <c r="G28" s="4">
        <v>9</v>
      </c>
      <c r="H28" s="4">
        <v>49</v>
      </c>
      <c r="I28" s="7" t="str">
        <f t="shared" si="1"/>
        <v>Yes</v>
      </c>
      <c r="J28" s="7" t="str">
        <f t="shared" si="2"/>
        <v>/</v>
      </c>
      <c r="K28" s="6">
        <v>600</v>
      </c>
      <c r="L28" s="5">
        <f t="shared" si="3"/>
        <v>34800</v>
      </c>
      <c r="M28" s="6">
        <f t="shared" si="4"/>
        <v>5400</v>
      </c>
    </row>
    <row r="29" spans="2:13">
      <c r="B29" s="4" t="s">
        <v>63</v>
      </c>
      <c r="C29" s="4" t="s">
        <v>64</v>
      </c>
      <c r="D29" s="4">
        <v>30</v>
      </c>
      <c r="E29" s="4">
        <v>15</v>
      </c>
      <c r="F29" s="4">
        <f t="shared" si="0"/>
        <v>45</v>
      </c>
      <c r="G29" s="4">
        <v>7</v>
      </c>
      <c r="H29" s="4">
        <v>38</v>
      </c>
      <c r="I29" s="7" t="str">
        <f t="shared" si="1"/>
        <v>Yes</v>
      </c>
      <c r="J29" s="7" t="str">
        <f t="shared" si="2"/>
        <v>/</v>
      </c>
      <c r="K29" s="6">
        <v>350</v>
      </c>
      <c r="L29" s="5">
        <f t="shared" si="3"/>
        <v>15750</v>
      </c>
      <c r="M29" s="6">
        <f t="shared" si="4"/>
        <v>2450</v>
      </c>
    </row>
    <row r="30" spans="2:13">
      <c r="B30" s="4" t="s">
        <v>65</v>
      </c>
      <c r="C30" s="4" t="s">
        <v>66</v>
      </c>
      <c r="D30" s="4">
        <v>25</v>
      </c>
      <c r="E30" s="4">
        <v>12</v>
      </c>
      <c r="F30" s="4">
        <f t="shared" si="0"/>
        <v>37</v>
      </c>
      <c r="G30" s="4">
        <v>5</v>
      </c>
      <c r="H30" s="4">
        <v>32</v>
      </c>
      <c r="I30" s="7" t="str">
        <f t="shared" si="1"/>
        <v>Yes</v>
      </c>
      <c r="J30" s="7" t="str">
        <f t="shared" si="2"/>
        <v>/</v>
      </c>
      <c r="K30" s="6">
        <v>200</v>
      </c>
      <c r="L30" s="5">
        <f t="shared" si="3"/>
        <v>7400</v>
      </c>
      <c r="M30" s="6">
        <f t="shared" si="4"/>
        <v>1000</v>
      </c>
    </row>
    <row r="31" spans="2:13">
      <c r="B31" s="4" t="s">
        <v>67</v>
      </c>
      <c r="C31" s="4" t="s">
        <v>68</v>
      </c>
      <c r="D31" s="4">
        <v>50</v>
      </c>
      <c r="E31" s="4">
        <v>22</v>
      </c>
      <c r="F31" s="4">
        <f t="shared" si="0"/>
        <v>72</v>
      </c>
      <c r="G31" s="4">
        <v>11</v>
      </c>
      <c r="H31" s="4">
        <v>61</v>
      </c>
      <c r="I31" s="7" t="str">
        <f t="shared" si="1"/>
        <v>Yes</v>
      </c>
      <c r="J31" s="7" t="str">
        <f t="shared" si="2"/>
        <v>/</v>
      </c>
      <c r="K31" s="6">
        <v>80</v>
      </c>
      <c r="L31" s="5">
        <f t="shared" si="3"/>
        <v>5760</v>
      </c>
      <c r="M31" s="6">
        <f t="shared" si="4"/>
        <v>880</v>
      </c>
    </row>
    <row r="32" spans="2:13">
      <c r="B32" s="4" t="s">
        <v>69</v>
      </c>
      <c r="C32" s="4" t="s">
        <v>70</v>
      </c>
      <c r="D32" s="4">
        <v>45</v>
      </c>
      <c r="E32" s="4">
        <v>20</v>
      </c>
      <c r="F32" s="4">
        <f t="shared" si="0"/>
        <v>65</v>
      </c>
      <c r="G32" s="4">
        <v>8</v>
      </c>
      <c r="H32" s="4">
        <v>57</v>
      </c>
      <c r="I32" s="7" t="str">
        <f t="shared" si="1"/>
        <v>Yes</v>
      </c>
      <c r="J32" s="7" t="str">
        <f t="shared" si="2"/>
        <v>/</v>
      </c>
      <c r="K32" s="6">
        <v>120</v>
      </c>
      <c r="L32" s="5">
        <f t="shared" si="3"/>
        <v>7800</v>
      </c>
      <c r="M32" s="6">
        <f t="shared" si="4"/>
        <v>960</v>
      </c>
    </row>
    <row r="33" spans="2:13">
      <c r="B33" s="4" t="s">
        <v>71</v>
      </c>
      <c r="C33" s="4" t="s">
        <v>72</v>
      </c>
      <c r="D33" s="4">
        <v>60</v>
      </c>
      <c r="E33" s="4">
        <v>25</v>
      </c>
      <c r="F33" s="4">
        <f t="shared" si="0"/>
        <v>85</v>
      </c>
      <c r="G33" s="4">
        <v>12</v>
      </c>
      <c r="H33" s="4">
        <v>73</v>
      </c>
      <c r="I33" s="7" t="str">
        <f t="shared" si="1"/>
        <v>Yes</v>
      </c>
      <c r="J33" s="7" t="str">
        <f t="shared" si="2"/>
        <v>/</v>
      </c>
      <c r="K33" s="6">
        <v>60</v>
      </c>
      <c r="L33" s="5">
        <f t="shared" si="3"/>
        <v>5100</v>
      </c>
      <c r="M33" s="6">
        <f t="shared" si="4"/>
        <v>720</v>
      </c>
    </row>
    <row r="34" spans="2:13">
      <c r="B34" s="4" t="s">
        <v>73</v>
      </c>
      <c r="C34" s="4" t="s">
        <v>74</v>
      </c>
      <c r="D34" s="4">
        <v>35</v>
      </c>
      <c r="E34" s="4">
        <v>15</v>
      </c>
      <c r="F34" s="4">
        <f t="shared" si="0"/>
        <v>50</v>
      </c>
      <c r="G34" s="4">
        <v>6</v>
      </c>
      <c r="H34" s="4">
        <v>44</v>
      </c>
      <c r="I34" s="7" t="str">
        <f t="shared" si="1"/>
        <v>Yes</v>
      </c>
      <c r="J34" s="7" t="str">
        <f t="shared" si="2"/>
        <v>/</v>
      </c>
      <c r="K34" s="6">
        <v>100</v>
      </c>
      <c r="L34" s="5">
        <f t="shared" si="3"/>
        <v>5000</v>
      </c>
      <c r="M34" s="6">
        <f t="shared" si="4"/>
        <v>600</v>
      </c>
    </row>
    <row r="35" spans="2:13">
      <c r="B35" s="4" t="s">
        <v>75</v>
      </c>
      <c r="C35" s="4" t="s">
        <v>76</v>
      </c>
      <c r="D35" s="4">
        <v>40</v>
      </c>
      <c r="E35" s="4">
        <v>18</v>
      </c>
      <c r="F35" s="4">
        <f t="shared" si="0"/>
        <v>58</v>
      </c>
      <c r="G35" s="4">
        <v>9</v>
      </c>
      <c r="H35" s="4">
        <v>49</v>
      </c>
      <c r="I35" s="7" t="str">
        <f t="shared" si="1"/>
        <v>Yes</v>
      </c>
      <c r="J35" s="7" t="str">
        <f t="shared" si="2"/>
        <v>/</v>
      </c>
      <c r="K35" s="6">
        <v>80</v>
      </c>
      <c r="L35" s="5">
        <f t="shared" si="3"/>
        <v>4640</v>
      </c>
      <c r="M35" s="6">
        <f t="shared" si="4"/>
        <v>720</v>
      </c>
    </row>
    <row r="36" spans="2:13" ht="15" customHeight="1">
      <c r="B36" s="4" t="s">
        <v>77</v>
      </c>
      <c r="C36" s="4" t="s">
        <v>78</v>
      </c>
      <c r="D36" s="4">
        <v>30</v>
      </c>
      <c r="E36" s="4">
        <v>12</v>
      </c>
      <c r="F36" s="4">
        <f t="shared" si="0"/>
        <v>42</v>
      </c>
      <c r="G36" s="4">
        <v>4</v>
      </c>
      <c r="H36" s="4">
        <v>34</v>
      </c>
      <c r="I36" s="7" t="str">
        <f t="shared" si="1"/>
        <v>No - Missing Inventory</v>
      </c>
      <c r="J36" s="7">
        <f t="shared" si="2"/>
        <v>4</v>
      </c>
      <c r="K36" s="6">
        <v>50</v>
      </c>
      <c r="L36" s="5">
        <f t="shared" si="3"/>
        <v>2100</v>
      </c>
      <c r="M36" s="6">
        <f t="shared" si="4"/>
        <v>200</v>
      </c>
    </row>
    <row r="37" spans="2:13" ht="15.75" customHeight="1">
      <c r="B37" s="4" t="s">
        <v>79</v>
      </c>
      <c r="C37" s="4" t="s">
        <v>80</v>
      </c>
      <c r="D37" s="4">
        <v>25</v>
      </c>
      <c r="E37" s="4">
        <v>10</v>
      </c>
      <c r="F37" s="4">
        <f t="shared" si="0"/>
        <v>35</v>
      </c>
      <c r="G37" s="4">
        <v>3</v>
      </c>
      <c r="H37" s="4">
        <v>28</v>
      </c>
      <c r="I37" s="7" t="str">
        <f t="shared" si="1"/>
        <v>No - Missing Inventory</v>
      </c>
      <c r="J37" s="7">
        <f t="shared" si="2"/>
        <v>4</v>
      </c>
      <c r="K37" s="6">
        <v>30</v>
      </c>
      <c r="L37" s="5">
        <f t="shared" si="3"/>
        <v>1050</v>
      </c>
      <c r="M37" s="6">
        <f t="shared" si="4"/>
        <v>90</v>
      </c>
    </row>
    <row r="38" spans="2:13" ht="16.5" customHeight="1">
      <c r="B38" s="4" t="s">
        <v>81</v>
      </c>
      <c r="C38" s="4" t="s">
        <v>82</v>
      </c>
      <c r="D38" s="4">
        <v>50</v>
      </c>
      <c r="E38" s="4">
        <v>20</v>
      </c>
      <c r="F38" s="4">
        <f t="shared" si="0"/>
        <v>70</v>
      </c>
      <c r="G38" s="4">
        <v>8</v>
      </c>
      <c r="H38" s="4">
        <v>58</v>
      </c>
      <c r="I38" s="7" t="str">
        <f t="shared" si="1"/>
        <v>No - Missing Inventory</v>
      </c>
      <c r="J38" s="7">
        <f t="shared" si="2"/>
        <v>4</v>
      </c>
      <c r="K38" s="6">
        <v>10</v>
      </c>
      <c r="L38" s="5">
        <f t="shared" si="3"/>
        <v>700</v>
      </c>
      <c r="M38" s="6">
        <f t="shared" si="4"/>
        <v>80</v>
      </c>
    </row>
    <row r="39" spans="2:13" ht="15.75" customHeight="1">
      <c r="B39" s="4" t="s">
        <v>83</v>
      </c>
      <c r="C39" s="4" t="s">
        <v>84</v>
      </c>
      <c r="D39" s="4">
        <v>40</v>
      </c>
      <c r="E39" s="4">
        <v>15</v>
      </c>
      <c r="F39" s="4">
        <f t="shared" si="0"/>
        <v>55</v>
      </c>
      <c r="G39" s="4">
        <v>5</v>
      </c>
      <c r="H39" s="4">
        <v>50</v>
      </c>
      <c r="I39" s="7" t="str">
        <f t="shared" si="1"/>
        <v>Yes</v>
      </c>
      <c r="J39" s="7" t="str">
        <f t="shared" si="2"/>
        <v>/</v>
      </c>
      <c r="K39" s="6">
        <v>5</v>
      </c>
      <c r="L39" s="5">
        <f t="shared" si="3"/>
        <v>275</v>
      </c>
      <c r="M39" s="6">
        <f t="shared" si="4"/>
        <v>25</v>
      </c>
    </row>
    <row r="40" spans="2:13" ht="18" customHeight="1">
      <c r="B40" s="4" t="s">
        <v>85</v>
      </c>
      <c r="C40" s="4" t="s">
        <v>86</v>
      </c>
      <c r="D40" s="4">
        <v>30</v>
      </c>
      <c r="E40" s="4">
        <v>12</v>
      </c>
      <c r="F40" s="4">
        <f t="shared" si="0"/>
        <v>42</v>
      </c>
      <c r="G40" s="4">
        <v>4</v>
      </c>
      <c r="H40" s="4">
        <v>34</v>
      </c>
      <c r="I40" s="7" t="str">
        <f t="shared" si="1"/>
        <v>No - Missing Inventory</v>
      </c>
      <c r="J40" s="7">
        <f t="shared" si="2"/>
        <v>4</v>
      </c>
      <c r="K40" s="6">
        <v>15</v>
      </c>
      <c r="L40" s="5">
        <f t="shared" si="3"/>
        <v>630</v>
      </c>
      <c r="M40" s="6">
        <f t="shared" si="4"/>
        <v>60</v>
      </c>
    </row>
    <row r="41" spans="2:13" ht="18" customHeight="1">
      <c r="B41" s="4" t="s">
        <v>87</v>
      </c>
      <c r="C41" s="4" t="s">
        <v>88</v>
      </c>
      <c r="D41" s="4">
        <v>20</v>
      </c>
      <c r="E41" s="4">
        <v>8</v>
      </c>
      <c r="F41" s="4">
        <f t="shared" si="0"/>
        <v>28</v>
      </c>
      <c r="G41" s="4">
        <v>3</v>
      </c>
      <c r="H41" s="4">
        <v>23</v>
      </c>
      <c r="I41" s="7" t="str">
        <f t="shared" si="1"/>
        <v>No - Missing Inventory</v>
      </c>
      <c r="J41" s="7">
        <f t="shared" si="2"/>
        <v>2</v>
      </c>
      <c r="K41" s="6">
        <v>20</v>
      </c>
      <c r="L41" s="5">
        <f t="shared" si="3"/>
        <v>560</v>
      </c>
      <c r="M41" s="6">
        <f t="shared" si="4"/>
        <v>60</v>
      </c>
    </row>
    <row r="42" spans="2:13" ht="15" customHeight="1">
      <c r="B42" s="4" t="s">
        <v>89</v>
      </c>
      <c r="C42" s="4" t="s">
        <v>90</v>
      </c>
      <c r="D42" s="4">
        <v>15</v>
      </c>
      <c r="E42" s="4">
        <v>6</v>
      </c>
      <c r="F42" s="4">
        <f t="shared" si="0"/>
        <v>21</v>
      </c>
      <c r="G42" s="4">
        <v>2</v>
      </c>
      <c r="H42" s="4">
        <v>17</v>
      </c>
      <c r="I42" s="7" t="str">
        <f t="shared" si="1"/>
        <v>No - Missing Inventory</v>
      </c>
      <c r="J42" s="7">
        <f t="shared" si="2"/>
        <v>2</v>
      </c>
      <c r="K42" s="6">
        <v>50</v>
      </c>
      <c r="L42" s="5">
        <f t="shared" si="3"/>
        <v>1050</v>
      </c>
      <c r="M42" s="6">
        <f t="shared" si="4"/>
        <v>100</v>
      </c>
    </row>
    <row r="43" spans="2:13" ht="18" customHeight="1">
      <c r="B43" s="4" t="s">
        <v>91</v>
      </c>
      <c r="C43" s="4" t="s">
        <v>92</v>
      </c>
      <c r="D43" s="4">
        <v>25</v>
      </c>
      <c r="E43" s="4">
        <v>10</v>
      </c>
      <c r="F43" s="4">
        <f t="shared" si="0"/>
        <v>35</v>
      </c>
      <c r="G43" s="4">
        <v>4</v>
      </c>
      <c r="H43" s="4">
        <v>29</v>
      </c>
      <c r="I43" s="7" t="str">
        <f t="shared" si="1"/>
        <v>No - Missing Inventory</v>
      </c>
      <c r="J43" s="7">
        <f t="shared" si="2"/>
        <v>2</v>
      </c>
      <c r="K43" s="6">
        <v>5</v>
      </c>
      <c r="L43" s="5">
        <f t="shared" si="3"/>
        <v>175</v>
      </c>
      <c r="M43" s="6">
        <f t="shared" si="4"/>
        <v>20</v>
      </c>
    </row>
    <row r="44" spans="2:13">
      <c r="B44" s="4" t="s">
        <v>93</v>
      </c>
      <c r="C44" s="4" t="s">
        <v>94</v>
      </c>
      <c r="D44" s="4">
        <v>40</v>
      </c>
      <c r="E44" s="4">
        <v>18</v>
      </c>
      <c r="F44" s="4">
        <f t="shared" si="0"/>
        <v>58</v>
      </c>
      <c r="G44" s="4">
        <v>9</v>
      </c>
      <c r="H44" s="4">
        <v>49</v>
      </c>
      <c r="I44" s="7" t="str">
        <f t="shared" si="1"/>
        <v>Yes</v>
      </c>
      <c r="J44" s="7" t="str">
        <f t="shared" si="2"/>
        <v>/</v>
      </c>
      <c r="K44" s="6">
        <v>8</v>
      </c>
      <c r="L44" s="5">
        <f t="shared" si="3"/>
        <v>464</v>
      </c>
      <c r="M44" s="6">
        <f t="shared" si="4"/>
        <v>72</v>
      </c>
    </row>
    <row r="45" spans="2:13">
      <c r="B45" s="4" t="s">
        <v>95</v>
      </c>
      <c r="C45" s="4" t="s">
        <v>96</v>
      </c>
      <c r="D45" s="4">
        <v>30</v>
      </c>
      <c r="E45" s="4">
        <v>15</v>
      </c>
      <c r="F45" s="4">
        <f t="shared" si="0"/>
        <v>45</v>
      </c>
      <c r="G45" s="4">
        <v>6</v>
      </c>
      <c r="H45" s="4">
        <v>39</v>
      </c>
      <c r="I45" s="7" t="str">
        <f t="shared" si="1"/>
        <v>Yes</v>
      </c>
      <c r="J45" s="7" t="str">
        <f t="shared" si="2"/>
        <v>/</v>
      </c>
      <c r="K45" s="6">
        <v>20</v>
      </c>
      <c r="L45" s="5">
        <f t="shared" si="3"/>
        <v>900</v>
      </c>
      <c r="M45" s="6">
        <f t="shared" si="4"/>
        <v>120</v>
      </c>
    </row>
    <row r="46" spans="2:13" ht="15.75" customHeight="1">
      <c r="B46" s="4" t="s">
        <v>97</v>
      </c>
      <c r="C46" s="4" t="s">
        <v>98</v>
      </c>
      <c r="D46" s="4">
        <v>35</v>
      </c>
      <c r="E46" s="4">
        <v>12</v>
      </c>
      <c r="F46" s="4">
        <f t="shared" si="0"/>
        <v>47</v>
      </c>
      <c r="G46" s="4">
        <v>4</v>
      </c>
      <c r="H46" s="4">
        <v>31</v>
      </c>
      <c r="I46" s="7" t="str">
        <f t="shared" si="1"/>
        <v>No - Missing Inventory</v>
      </c>
      <c r="J46" s="7">
        <f t="shared" si="2"/>
        <v>12</v>
      </c>
      <c r="K46" s="6">
        <v>15</v>
      </c>
      <c r="L46" s="5">
        <f t="shared" si="3"/>
        <v>705</v>
      </c>
      <c r="M46" s="6">
        <f t="shared" si="4"/>
        <v>60</v>
      </c>
    </row>
    <row r="47" spans="2:13" ht="16.5" customHeight="1">
      <c r="B47" s="4" t="s">
        <v>99</v>
      </c>
      <c r="C47" s="4" t="s">
        <v>100</v>
      </c>
      <c r="D47" s="4">
        <v>25</v>
      </c>
      <c r="E47" s="4">
        <v>8</v>
      </c>
      <c r="F47" s="4">
        <f t="shared" si="0"/>
        <v>33</v>
      </c>
      <c r="G47" s="4">
        <v>3</v>
      </c>
      <c r="H47" s="4">
        <v>28</v>
      </c>
      <c r="I47" s="7" t="str">
        <f t="shared" si="1"/>
        <v>No - Missing Inventory</v>
      </c>
      <c r="J47" s="7">
        <f t="shared" si="2"/>
        <v>2</v>
      </c>
      <c r="K47" s="6">
        <v>10</v>
      </c>
      <c r="L47" s="5">
        <f t="shared" si="3"/>
        <v>330</v>
      </c>
      <c r="M47" s="6">
        <f t="shared" si="4"/>
        <v>30</v>
      </c>
    </row>
    <row r="48" spans="2:13" ht="18" customHeight="1">
      <c r="B48" s="4" t="s">
        <v>101</v>
      </c>
      <c r="C48" s="4" t="s">
        <v>102</v>
      </c>
      <c r="D48" s="4">
        <v>20</v>
      </c>
      <c r="E48" s="4">
        <v>10</v>
      </c>
      <c r="F48" s="4">
        <f t="shared" si="0"/>
        <v>30</v>
      </c>
      <c r="G48" s="4">
        <v>4</v>
      </c>
      <c r="H48" s="4">
        <v>24</v>
      </c>
      <c r="I48" s="7" t="str">
        <f t="shared" si="1"/>
        <v>No - Missing Inventory</v>
      </c>
      <c r="J48" s="7">
        <f t="shared" si="2"/>
        <v>2</v>
      </c>
      <c r="K48" s="6">
        <v>15</v>
      </c>
      <c r="L48" s="5">
        <f t="shared" si="3"/>
        <v>450</v>
      </c>
      <c r="M48" s="6">
        <f t="shared" si="4"/>
        <v>60</v>
      </c>
    </row>
    <row r="49" spans="2:13">
      <c r="B49" s="4" t="s">
        <v>103</v>
      </c>
      <c r="C49" s="4" t="s">
        <v>104</v>
      </c>
      <c r="D49" s="4">
        <v>30</v>
      </c>
      <c r="E49" s="4">
        <v>12</v>
      </c>
      <c r="F49" s="4">
        <f t="shared" si="0"/>
        <v>42</v>
      </c>
      <c r="G49" s="4">
        <v>5</v>
      </c>
      <c r="H49" s="4">
        <v>37</v>
      </c>
      <c r="I49" s="7" t="str">
        <f t="shared" si="1"/>
        <v>Yes</v>
      </c>
      <c r="J49" s="7" t="str">
        <f t="shared" si="2"/>
        <v>/</v>
      </c>
      <c r="K49" s="6">
        <v>20</v>
      </c>
      <c r="L49" s="5">
        <f t="shared" si="3"/>
        <v>840</v>
      </c>
      <c r="M49" s="6">
        <f t="shared" si="4"/>
        <v>100</v>
      </c>
    </row>
    <row r="50" spans="2:13">
      <c r="B50" s="4" t="s">
        <v>105</v>
      </c>
      <c r="C50" s="4" t="s">
        <v>106</v>
      </c>
      <c r="D50" s="4">
        <v>40</v>
      </c>
      <c r="E50" s="4">
        <v>18</v>
      </c>
      <c r="F50" s="4">
        <f t="shared" si="0"/>
        <v>58</v>
      </c>
      <c r="G50" s="4">
        <v>7</v>
      </c>
      <c r="H50" s="4">
        <v>51</v>
      </c>
      <c r="I50" s="7" t="str">
        <f t="shared" si="1"/>
        <v>Yes</v>
      </c>
      <c r="J50" s="7" t="str">
        <f t="shared" si="2"/>
        <v>/</v>
      </c>
      <c r="K50" s="6">
        <v>30</v>
      </c>
      <c r="L50" s="5">
        <f t="shared" si="3"/>
        <v>1740</v>
      </c>
      <c r="M50" s="6">
        <f t="shared" si="4"/>
        <v>210</v>
      </c>
    </row>
    <row r="51" spans="2:13">
      <c r="B51" s="4" t="s">
        <v>107</v>
      </c>
      <c r="C51" s="4" t="s">
        <v>108</v>
      </c>
      <c r="D51" s="4">
        <v>50</v>
      </c>
      <c r="E51" s="4">
        <v>20</v>
      </c>
      <c r="F51" s="4">
        <f t="shared" si="0"/>
        <v>70</v>
      </c>
      <c r="G51" s="4">
        <v>9</v>
      </c>
      <c r="H51" s="4">
        <v>61</v>
      </c>
      <c r="I51" s="7" t="str">
        <f t="shared" si="1"/>
        <v>Yes</v>
      </c>
      <c r="J51" s="7" t="str">
        <f t="shared" si="2"/>
        <v>/</v>
      </c>
      <c r="K51" s="6">
        <v>8</v>
      </c>
      <c r="L51" s="5">
        <f t="shared" si="3"/>
        <v>560</v>
      </c>
      <c r="M51" s="6">
        <f t="shared" si="4"/>
        <v>72</v>
      </c>
    </row>
    <row r="52" spans="2:13" ht="19.5" customHeight="1">
      <c r="B52" s="4" t="s">
        <v>109</v>
      </c>
      <c r="C52" s="4" t="s">
        <v>110</v>
      </c>
      <c r="D52" s="4">
        <v>25</v>
      </c>
      <c r="E52" s="4">
        <v>10</v>
      </c>
      <c r="F52" s="4">
        <f t="shared" si="0"/>
        <v>35</v>
      </c>
      <c r="G52" s="4">
        <v>3</v>
      </c>
      <c r="H52" s="4">
        <v>28</v>
      </c>
      <c r="I52" s="7" t="str">
        <f t="shared" si="1"/>
        <v>No - Missing Inventory</v>
      </c>
      <c r="J52" s="7">
        <f t="shared" si="2"/>
        <v>4</v>
      </c>
      <c r="K52" s="6">
        <v>150</v>
      </c>
      <c r="L52" s="5">
        <f t="shared" si="3"/>
        <v>5250</v>
      </c>
      <c r="M52" s="6">
        <f t="shared" si="4"/>
        <v>450</v>
      </c>
    </row>
    <row r="53" spans="2:13" ht="15" customHeight="1">
      <c r="G53" s="1">
        <f>SUM(G7:G52)</f>
        <v>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904C-913B-4359-ABCC-EBFCC4009354}">
  <dimension ref="B1:D15"/>
  <sheetViews>
    <sheetView topLeftCell="C1" workbookViewId="0">
      <selection activeCell="L18" sqref="L18"/>
    </sheetView>
  </sheetViews>
  <sheetFormatPr defaultRowHeight="15"/>
  <cols>
    <col min="2" max="2" width="25" bestFit="1" customWidth="1"/>
    <col min="3" max="3" width="21.85546875" bestFit="1" customWidth="1"/>
    <col min="4" max="4" width="15.85546875" bestFit="1" customWidth="1"/>
    <col min="5" max="13" width="5.140625" bestFit="1" customWidth="1"/>
    <col min="14" max="23" width="6.28515625" bestFit="1" customWidth="1"/>
    <col min="24" max="24" width="7.85546875" bestFit="1" customWidth="1"/>
  </cols>
  <sheetData>
    <row r="1" spans="2:4">
      <c r="B1" s="11" t="s">
        <v>10</v>
      </c>
      <c r="C1" t="s">
        <v>111</v>
      </c>
    </row>
    <row r="3" spans="2:4" ht="29.25">
      <c r="B3" s="11" t="s">
        <v>3</v>
      </c>
      <c r="C3" s="14" t="s">
        <v>112</v>
      </c>
      <c r="D3" s="14" t="s">
        <v>113</v>
      </c>
    </row>
    <row r="4" spans="2:4">
      <c r="B4" t="s">
        <v>98</v>
      </c>
      <c r="C4" s="12">
        <v>12</v>
      </c>
      <c r="D4" s="13">
        <v>15</v>
      </c>
    </row>
    <row r="5" spans="2:4">
      <c r="B5" t="s">
        <v>80</v>
      </c>
      <c r="C5" s="12">
        <v>4</v>
      </c>
      <c r="D5" s="13">
        <v>30</v>
      </c>
    </row>
    <row r="6" spans="2:4">
      <c r="B6" t="s">
        <v>82</v>
      </c>
      <c r="C6" s="12">
        <v>4</v>
      </c>
      <c r="D6" s="13">
        <v>10</v>
      </c>
    </row>
    <row r="7" spans="2:4">
      <c r="B7" t="s">
        <v>86</v>
      </c>
      <c r="C7" s="12">
        <v>4</v>
      </c>
      <c r="D7" s="13">
        <v>15</v>
      </c>
    </row>
    <row r="8" spans="2:4">
      <c r="B8" t="s">
        <v>78</v>
      </c>
      <c r="C8" s="12">
        <v>4</v>
      </c>
      <c r="D8" s="13">
        <v>50</v>
      </c>
    </row>
    <row r="9" spans="2:4">
      <c r="B9" t="s">
        <v>110</v>
      </c>
      <c r="C9" s="12">
        <v>4</v>
      </c>
      <c r="D9" s="13">
        <v>150</v>
      </c>
    </row>
    <row r="10" spans="2:4">
      <c r="B10" t="s">
        <v>88</v>
      </c>
      <c r="C10" s="12">
        <v>2</v>
      </c>
      <c r="D10" s="13">
        <v>20</v>
      </c>
    </row>
    <row r="11" spans="2:4">
      <c r="B11" t="s">
        <v>92</v>
      </c>
      <c r="C11" s="12">
        <v>2</v>
      </c>
      <c r="D11" s="13">
        <v>5</v>
      </c>
    </row>
    <row r="12" spans="2:4">
      <c r="B12" t="s">
        <v>90</v>
      </c>
      <c r="C12" s="12">
        <v>2</v>
      </c>
      <c r="D12" s="13">
        <v>50</v>
      </c>
    </row>
    <row r="13" spans="2:4">
      <c r="B13" t="s">
        <v>102</v>
      </c>
      <c r="C13" s="12">
        <v>2</v>
      </c>
      <c r="D13" s="13">
        <v>15</v>
      </c>
    </row>
    <row r="14" spans="2:4">
      <c r="B14" t="s">
        <v>100</v>
      </c>
      <c r="C14" s="12">
        <v>2</v>
      </c>
      <c r="D14" s="13">
        <v>10</v>
      </c>
    </row>
    <row r="15" spans="2:4">
      <c r="B15" t="s">
        <v>60</v>
      </c>
      <c r="C15" s="12">
        <v>2</v>
      </c>
      <c r="D15" s="13">
        <v>400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184F-9E01-4A40-8961-BDB11C46BCD0}">
  <dimension ref="B1:O33"/>
  <sheetViews>
    <sheetView topLeftCell="A19" workbookViewId="0">
      <selection activeCell="L31" sqref="L31"/>
    </sheetView>
  </sheetViews>
  <sheetFormatPr defaultRowHeight="15"/>
  <cols>
    <col min="2" max="2" width="20.7109375" customWidth="1"/>
    <col min="3" max="3" width="25.28515625" customWidth="1"/>
    <col min="4" max="4" width="16.42578125" customWidth="1"/>
    <col min="5" max="5" width="14.85546875" customWidth="1"/>
    <col min="14" max="14" width="25" bestFit="1" customWidth="1"/>
    <col min="15" max="15" width="25.28515625" customWidth="1"/>
  </cols>
  <sheetData>
    <row r="1" spans="2:15">
      <c r="B1" s="11" t="s">
        <v>13</v>
      </c>
      <c r="C1" t="s">
        <v>111</v>
      </c>
      <c r="N1" s="11" t="s">
        <v>13</v>
      </c>
      <c r="O1" t="s">
        <v>111</v>
      </c>
    </row>
    <row r="3" spans="2:15">
      <c r="B3" s="11" t="s">
        <v>3</v>
      </c>
      <c r="C3" t="s">
        <v>114</v>
      </c>
      <c r="N3" s="11" t="s">
        <v>3</v>
      </c>
      <c r="O3" t="s">
        <v>114</v>
      </c>
    </row>
    <row r="4" spans="2:15">
      <c r="B4" t="s">
        <v>27</v>
      </c>
      <c r="C4" s="13">
        <v>18000</v>
      </c>
      <c r="N4" t="s">
        <v>92</v>
      </c>
      <c r="O4" s="13">
        <v>20</v>
      </c>
    </row>
    <row r="5" spans="2:15">
      <c r="B5" t="s">
        <v>15</v>
      </c>
      <c r="C5" s="13">
        <v>12000</v>
      </c>
      <c r="N5" t="s">
        <v>84</v>
      </c>
      <c r="O5" s="13">
        <v>25</v>
      </c>
    </row>
    <row r="6" spans="2:15">
      <c r="B6" t="s">
        <v>30</v>
      </c>
      <c r="C6" s="13">
        <v>5600</v>
      </c>
      <c r="N6" t="s">
        <v>100</v>
      </c>
      <c r="O6" s="13">
        <v>30</v>
      </c>
    </row>
    <row r="7" spans="2:15">
      <c r="B7" t="s">
        <v>62</v>
      </c>
      <c r="C7" s="13">
        <v>5400</v>
      </c>
      <c r="N7" t="s">
        <v>86</v>
      </c>
      <c r="O7" s="13">
        <v>60</v>
      </c>
    </row>
    <row r="8" spans="2:15">
      <c r="B8" t="s">
        <v>18</v>
      </c>
      <c r="C8" s="13">
        <v>2500</v>
      </c>
      <c r="N8" t="s">
        <v>98</v>
      </c>
      <c r="O8" s="13">
        <v>60</v>
      </c>
    </row>
    <row r="9" spans="2:15">
      <c r="B9" t="s">
        <v>64</v>
      </c>
      <c r="C9" s="13">
        <v>2450</v>
      </c>
      <c r="N9" t="s">
        <v>102</v>
      </c>
      <c r="O9" s="13">
        <v>60</v>
      </c>
    </row>
    <row r="10" spans="2:15">
      <c r="B10" t="s">
        <v>32</v>
      </c>
      <c r="C10" s="13">
        <v>1800</v>
      </c>
      <c r="N10" t="s">
        <v>88</v>
      </c>
      <c r="O10" s="13">
        <v>60</v>
      </c>
    </row>
    <row r="11" spans="2:15">
      <c r="B11" t="s">
        <v>60</v>
      </c>
      <c r="C11" s="13">
        <v>1600</v>
      </c>
      <c r="N11" t="s">
        <v>94</v>
      </c>
      <c r="O11" s="13">
        <v>72</v>
      </c>
    </row>
    <row r="12" spans="2:15">
      <c r="B12" t="s">
        <v>66</v>
      </c>
      <c r="C12" s="13">
        <v>1000</v>
      </c>
      <c r="N12" t="s">
        <v>108</v>
      </c>
      <c r="O12" s="13">
        <v>72</v>
      </c>
    </row>
    <row r="13" spans="2:15">
      <c r="B13" t="s">
        <v>34</v>
      </c>
      <c r="C13" s="13">
        <v>1000</v>
      </c>
      <c r="N13" t="s">
        <v>82</v>
      </c>
      <c r="O13" s="13">
        <v>80</v>
      </c>
    </row>
    <row r="14" spans="2:15">
      <c r="B14" t="s">
        <v>115</v>
      </c>
      <c r="C14" s="13">
        <v>51350</v>
      </c>
      <c r="N14" t="s">
        <v>115</v>
      </c>
      <c r="O14" s="13">
        <v>539</v>
      </c>
    </row>
    <row r="19" spans="2:15">
      <c r="N19" s="11" t="s">
        <v>7</v>
      </c>
      <c r="O19" t="s">
        <v>111</v>
      </c>
    </row>
    <row r="20" spans="2:15">
      <c r="B20" s="11" t="s">
        <v>7</v>
      </c>
      <c r="C20" t="s">
        <v>111</v>
      </c>
    </row>
    <row r="21" spans="2:15">
      <c r="N21" s="11" t="s">
        <v>3</v>
      </c>
      <c r="O21" t="s">
        <v>116</v>
      </c>
    </row>
    <row r="22" spans="2:15">
      <c r="B22" s="11" t="s">
        <v>3</v>
      </c>
      <c r="C22" t="s">
        <v>116</v>
      </c>
      <c r="N22" t="s">
        <v>58</v>
      </c>
      <c r="O22" s="12">
        <v>2</v>
      </c>
    </row>
    <row r="23" spans="2:15">
      <c r="B23" t="s">
        <v>27</v>
      </c>
      <c r="C23" s="12">
        <v>20</v>
      </c>
      <c r="N23" t="s">
        <v>90</v>
      </c>
      <c r="O23" s="12">
        <v>2</v>
      </c>
    </row>
    <row r="24" spans="2:15">
      <c r="B24" t="s">
        <v>21</v>
      </c>
      <c r="C24" s="12">
        <v>15</v>
      </c>
      <c r="N24" t="s">
        <v>110</v>
      </c>
      <c r="O24" s="12">
        <v>3</v>
      </c>
    </row>
    <row r="25" spans="2:15">
      <c r="B25" t="s">
        <v>46</v>
      </c>
      <c r="C25" s="12">
        <v>15</v>
      </c>
      <c r="N25" t="s">
        <v>56</v>
      </c>
      <c r="O25" s="12">
        <v>3</v>
      </c>
    </row>
    <row r="26" spans="2:15">
      <c r="B26" t="s">
        <v>72</v>
      </c>
      <c r="C26" s="12">
        <v>12</v>
      </c>
      <c r="N26" t="s">
        <v>40</v>
      </c>
      <c r="O26" s="12">
        <v>3</v>
      </c>
    </row>
    <row r="27" spans="2:15">
      <c r="B27" t="s">
        <v>44</v>
      </c>
      <c r="C27" s="12">
        <v>12</v>
      </c>
      <c r="N27" t="s">
        <v>100</v>
      </c>
      <c r="O27" s="12">
        <v>3</v>
      </c>
    </row>
    <row r="28" spans="2:15">
      <c r="B28" t="s">
        <v>32</v>
      </c>
      <c r="C28" s="12">
        <v>12</v>
      </c>
      <c r="N28" t="s">
        <v>24</v>
      </c>
      <c r="O28" s="12">
        <v>3</v>
      </c>
    </row>
    <row r="29" spans="2:15">
      <c r="B29" t="s">
        <v>68</v>
      </c>
      <c r="C29" s="12">
        <v>11</v>
      </c>
      <c r="N29" t="s">
        <v>88</v>
      </c>
      <c r="O29" s="12">
        <v>3</v>
      </c>
    </row>
    <row r="30" spans="2:15">
      <c r="B30" t="s">
        <v>38</v>
      </c>
      <c r="C30" s="12">
        <v>10</v>
      </c>
      <c r="N30" t="s">
        <v>80</v>
      </c>
      <c r="O30" s="12">
        <v>3</v>
      </c>
    </row>
    <row r="31" spans="2:15">
      <c r="B31" t="s">
        <v>15</v>
      </c>
      <c r="C31" s="12">
        <v>10</v>
      </c>
      <c r="N31" t="s">
        <v>60</v>
      </c>
      <c r="O31" s="12">
        <v>4</v>
      </c>
    </row>
    <row r="32" spans="2:15">
      <c r="B32" t="s">
        <v>62</v>
      </c>
      <c r="C32" s="12">
        <v>9</v>
      </c>
      <c r="N32" t="s">
        <v>115</v>
      </c>
      <c r="O32" s="12">
        <v>29</v>
      </c>
    </row>
    <row r="33" spans="2:3">
      <c r="B33" t="s">
        <v>115</v>
      </c>
      <c r="C33" s="12">
        <v>126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30C6-1375-4875-BE87-9848E24F7802}">
  <dimension ref="B2:M49"/>
  <sheetViews>
    <sheetView topLeftCell="H1" workbookViewId="0">
      <selection activeCell="A12" sqref="A12:XFD12"/>
    </sheetView>
  </sheetViews>
  <sheetFormatPr defaultRowHeight="15"/>
  <cols>
    <col min="2" max="2" width="25" bestFit="1" customWidth="1"/>
    <col min="3" max="3" width="20.85546875" bestFit="1" customWidth="1"/>
    <col min="4" max="4" width="20.7109375" bestFit="1" customWidth="1"/>
    <col min="5" max="5" width="30.28515625" bestFit="1" customWidth="1"/>
    <col min="6" max="6" width="27.42578125" bestFit="1" customWidth="1"/>
    <col min="7" max="7" width="21.140625" bestFit="1" customWidth="1"/>
    <col min="9" max="9" width="16.28515625" customWidth="1"/>
    <col min="11" max="11" width="14.28515625" customWidth="1"/>
    <col min="12" max="12" width="14.7109375" customWidth="1"/>
    <col min="13" max="13" width="11.85546875" customWidth="1"/>
    <col min="14" max="14" width="15.42578125" customWidth="1"/>
    <col min="15" max="15" width="10.28515625" customWidth="1"/>
  </cols>
  <sheetData>
    <row r="2" spans="2:9">
      <c r="B2" s="11" t="s">
        <v>3</v>
      </c>
      <c r="C2" t="s">
        <v>117</v>
      </c>
      <c r="D2" t="s">
        <v>118</v>
      </c>
      <c r="E2" t="s">
        <v>113</v>
      </c>
      <c r="F2" t="s">
        <v>119</v>
      </c>
      <c r="G2" s="15" t="s">
        <v>114</v>
      </c>
      <c r="I2" s="18" t="s">
        <v>120</v>
      </c>
    </row>
    <row r="3" spans="2:9">
      <c r="B3" t="s">
        <v>100</v>
      </c>
      <c r="C3" s="12">
        <v>25</v>
      </c>
      <c r="D3" s="12">
        <v>33</v>
      </c>
      <c r="E3" s="13">
        <v>10</v>
      </c>
      <c r="F3" s="13">
        <v>330</v>
      </c>
      <c r="G3" s="13">
        <v>30</v>
      </c>
      <c r="I3" s="16">
        <f>(D3*E3)*1.25</f>
        <v>412.5</v>
      </c>
    </row>
    <row r="4" spans="2:9">
      <c r="B4" t="s">
        <v>86</v>
      </c>
      <c r="C4" s="12">
        <v>30</v>
      </c>
      <c r="D4" s="12">
        <v>42</v>
      </c>
      <c r="E4" s="13">
        <v>15</v>
      </c>
      <c r="F4" s="13">
        <v>630</v>
      </c>
      <c r="G4" s="13">
        <v>60</v>
      </c>
      <c r="I4" s="16">
        <f t="shared" ref="I4:I48" si="0">(D4*E4)*1.25</f>
        <v>787.5</v>
      </c>
    </row>
    <row r="5" spans="2:9">
      <c r="B5" t="s">
        <v>64</v>
      </c>
      <c r="C5" s="12">
        <v>30</v>
      </c>
      <c r="D5" s="12">
        <v>45</v>
      </c>
      <c r="E5" s="13">
        <v>350</v>
      </c>
      <c r="F5" s="13">
        <v>15750</v>
      </c>
      <c r="G5" s="13">
        <v>2450</v>
      </c>
      <c r="I5" s="16">
        <f t="shared" si="0"/>
        <v>19687.5</v>
      </c>
    </row>
    <row r="6" spans="2:9">
      <c r="B6" t="s">
        <v>78</v>
      </c>
      <c r="C6" s="12">
        <v>30</v>
      </c>
      <c r="D6" s="12">
        <v>42</v>
      </c>
      <c r="E6" s="13">
        <v>50</v>
      </c>
      <c r="F6" s="13">
        <v>2100</v>
      </c>
      <c r="G6" s="13">
        <v>200</v>
      </c>
      <c r="I6" s="16">
        <f t="shared" si="0"/>
        <v>2625</v>
      </c>
    </row>
    <row r="7" spans="2:9">
      <c r="B7" t="s">
        <v>40</v>
      </c>
      <c r="C7" s="12">
        <v>20</v>
      </c>
      <c r="D7" s="12">
        <v>28</v>
      </c>
      <c r="E7" s="13">
        <v>150</v>
      </c>
      <c r="F7" s="13">
        <v>4200</v>
      </c>
      <c r="G7" s="13">
        <v>450</v>
      </c>
      <c r="I7" s="16">
        <f t="shared" si="0"/>
        <v>5250</v>
      </c>
    </row>
    <row r="8" spans="2:9">
      <c r="B8" t="s">
        <v>42</v>
      </c>
      <c r="C8" s="12">
        <v>30</v>
      </c>
      <c r="D8" s="12">
        <v>45</v>
      </c>
      <c r="E8" s="13">
        <v>30</v>
      </c>
      <c r="F8" s="13">
        <v>1350</v>
      </c>
      <c r="G8" s="13">
        <v>210</v>
      </c>
      <c r="I8" s="16">
        <f t="shared" si="0"/>
        <v>1687.5</v>
      </c>
    </row>
    <row r="9" spans="2:9">
      <c r="B9" t="s">
        <v>46</v>
      </c>
      <c r="C9" s="12">
        <v>60</v>
      </c>
      <c r="D9" s="12">
        <v>90</v>
      </c>
      <c r="E9" s="13">
        <v>10</v>
      </c>
      <c r="F9" s="13">
        <v>900</v>
      </c>
      <c r="G9" s="13">
        <v>150</v>
      </c>
      <c r="I9" s="16">
        <f t="shared" si="0"/>
        <v>1125</v>
      </c>
    </row>
    <row r="10" spans="2:9">
      <c r="B10" t="s">
        <v>90</v>
      </c>
      <c r="C10" s="12">
        <v>15</v>
      </c>
      <c r="D10" s="12">
        <v>21</v>
      </c>
      <c r="E10" s="13">
        <v>50</v>
      </c>
      <c r="F10" s="13">
        <v>1050</v>
      </c>
      <c r="G10" s="13">
        <v>100</v>
      </c>
      <c r="I10" s="16">
        <f t="shared" si="0"/>
        <v>1312.5</v>
      </c>
    </row>
    <row r="11" spans="2:9">
      <c r="B11" t="s">
        <v>34</v>
      </c>
      <c r="C11" s="12">
        <v>25</v>
      </c>
      <c r="D11" s="12">
        <v>37</v>
      </c>
      <c r="E11" s="13">
        <v>200</v>
      </c>
      <c r="F11" s="13">
        <v>7400</v>
      </c>
      <c r="G11" s="13">
        <v>1000</v>
      </c>
      <c r="I11" s="16">
        <f t="shared" si="0"/>
        <v>9250</v>
      </c>
    </row>
    <row r="12" spans="2:9">
      <c r="B12" t="s">
        <v>58</v>
      </c>
      <c r="C12" s="12">
        <v>15</v>
      </c>
      <c r="D12" s="12">
        <v>21</v>
      </c>
      <c r="E12" s="13">
        <v>200</v>
      </c>
      <c r="F12" s="13">
        <v>4200</v>
      </c>
      <c r="G12" s="13">
        <v>400</v>
      </c>
      <c r="I12" s="16">
        <f t="shared" si="0"/>
        <v>5250</v>
      </c>
    </row>
    <row r="13" spans="2:9">
      <c r="B13" t="s">
        <v>110</v>
      </c>
      <c r="C13" s="12">
        <v>25</v>
      </c>
      <c r="D13" s="12">
        <v>35</v>
      </c>
      <c r="E13" s="13">
        <v>150</v>
      </c>
      <c r="F13" s="13">
        <v>5250</v>
      </c>
      <c r="G13" s="13">
        <v>450</v>
      </c>
      <c r="I13" s="16">
        <f t="shared" si="0"/>
        <v>6562.5</v>
      </c>
    </row>
    <row r="14" spans="2:9">
      <c r="B14" t="s">
        <v>56</v>
      </c>
      <c r="C14" s="12">
        <v>20</v>
      </c>
      <c r="D14" s="12">
        <v>28</v>
      </c>
      <c r="E14" s="13">
        <v>120</v>
      </c>
      <c r="F14" s="13">
        <v>3360</v>
      </c>
      <c r="G14" s="13">
        <v>360</v>
      </c>
      <c r="I14" s="16">
        <f t="shared" si="0"/>
        <v>4200</v>
      </c>
    </row>
    <row r="15" spans="2:9">
      <c r="B15" t="s">
        <v>52</v>
      </c>
      <c r="C15" s="12">
        <v>25</v>
      </c>
      <c r="D15" s="12">
        <v>35</v>
      </c>
      <c r="E15" s="13">
        <v>100</v>
      </c>
      <c r="F15" s="13">
        <v>3500</v>
      </c>
      <c r="G15" s="13">
        <v>400</v>
      </c>
      <c r="I15" s="16">
        <f t="shared" si="0"/>
        <v>4375</v>
      </c>
    </row>
    <row r="16" spans="2:9">
      <c r="B16" t="s">
        <v>60</v>
      </c>
      <c r="C16" s="12">
        <v>25</v>
      </c>
      <c r="D16" s="12">
        <v>35</v>
      </c>
      <c r="E16" s="13">
        <v>400</v>
      </c>
      <c r="F16" s="13">
        <v>14000</v>
      </c>
      <c r="G16" s="13">
        <v>1600</v>
      </c>
      <c r="I16" s="16">
        <f t="shared" si="0"/>
        <v>17500</v>
      </c>
    </row>
    <row r="17" spans="2:9">
      <c r="B17" t="s">
        <v>54</v>
      </c>
      <c r="C17" s="12">
        <v>30</v>
      </c>
      <c r="D17" s="12">
        <v>42</v>
      </c>
      <c r="E17" s="13">
        <v>80</v>
      </c>
      <c r="F17" s="13">
        <v>3360</v>
      </c>
      <c r="G17" s="13">
        <v>480</v>
      </c>
      <c r="I17" s="16">
        <f t="shared" si="0"/>
        <v>4200</v>
      </c>
    </row>
    <row r="18" spans="2:9">
      <c r="B18" t="s">
        <v>62</v>
      </c>
      <c r="C18" s="12">
        <v>40</v>
      </c>
      <c r="D18" s="12">
        <v>58</v>
      </c>
      <c r="E18" s="13">
        <v>600</v>
      </c>
      <c r="F18" s="13">
        <v>34800</v>
      </c>
      <c r="G18" s="13">
        <v>5400</v>
      </c>
      <c r="I18" s="16">
        <f t="shared" si="0"/>
        <v>43500</v>
      </c>
    </row>
    <row r="19" spans="2:9">
      <c r="B19" t="s">
        <v>72</v>
      </c>
      <c r="C19" s="12">
        <v>60</v>
      </c>
      <c r="D19" s="12">
        <v>85</v>
      </c>
      <c r="E19" s="13">
        <v>60</v>
      </c>
      <c r="F19" s="13">
        <v>5100</v>
      </c>
      <c r="G19" s="13">
        <v>720</v>
      </c>
      <c r="I19" s="16">
        <f t="shared" si="0"/>
        <v>6375</v>
      </c>
    </row>
    <row r="20" spans="2:9">
      <c r="B20" t="s">
        <v>24</v>
      </c>
      <c r="C20" s="12">
        <v>30</v>
      </c>
      <c r="D20" s="12">
        <v>40</v>
      </c>
      <c r="E20" s="13">
        <v>100</v>
      </c>
      <c r="F20" s="13">
        <v>4000</v>
      </c>
      <c r="G20" s="13">
        <v>300</v>
      </c>
      <c r="I20" s="16">
        <f t="shared" si="0"/>
        <v>5000</v>
      </c>
    </row>
    <row r="21" spans="2:9">
      <c r="B21" t="s">
        <v>21</v>
      </c>
      <c r="C21" s="12">
        <v>60</v>
      </c>
      <c r="D21" s="12">
        <v>85</v>
      </c>
      <c r="E21" s="13">
        <v>50</v>
      </c>
      <c r="F21" s="13">
        <v>4250</v>
      </c>
      <c r="G21" s="13">
        <v>750</v>
      </c>
      <c r="I21" s="16">
        <f t="shared" si="0"/>
        <v>5312.5</v>
      </c>
    </row>
    <row r="22" spans="2:9">
      <c r="B22" t="s">
        <v>94</v>
      </c>
      <c r="C22" s="12">
        <v>40</v>
      </c>
      <c r="D22" s="12">
        <v>58</v>
      </c>
      <c r="E22" s="13">
        <v>8</v>
      </c>
      <c r="F22" s="13">
        <v>464</v>
      </c>
      <c r="G22" s="13">
        <v>72</v>
      </c>
      <c r="I22" s="16">
        <f t="shared" si="0"/>
        <v>580</v>
      </c>
    </row>
    <row r="23" spans="2:9">
      <c r="B23" t="s">
        <v>15</v>
      </c>
      <c r="C23" s="12">
        <v>50</v>
      </c>
      <c r="D23" s="12">
        <v>70</v>
      </c>
      <c r="E23" s="13">
        <v>1200</v>
      </c>
      <c r="F23" s="13">
        <v>84000</v>
      </c>
      <c r="G23" s="13">
        <v>12000</v>
      </c>
      <c r="I23" s="16">
        <f t="shared" si="0"/>
        <v>105000</v>
      </c>
    </row>
    <row r="24" spans="2:9">
      <c r="B24" t="s">
        <v>96</v>
      </c>
      <c r="C24" s="12">
        <v>30</v>
      </c>
      <c r="D24" s="12">
        <v>45</v>
      </c>
      <c r="E24" s="13">
        <v>20</v>
      </c>
      <c r="F24" s="13">
        <v>900</v>
      </c>
      <c r="G24" s="13">
        <v>120</v>
      </c>
      <c r="I24" s="16">
        <f t="shared" si="0"/>
        <v>1125</v>
      </c>
    </row>
    <row r="25" spans="2:9">
      <c r="B25" t="s">
        <v>104</v>
      </c>
      <c r="C25" s="12">
        <v>30</v>
      </c>
      <c r="D25" s="12">
        <v>42</v>
      </c>
      <c r="E25" s="13">
        <v>20</v>
      </c>
      <c r="F25" s="13">
        <v>840</v>
      </c>
      <c r="G25" s="13">
        <v>100</v>
      </c>
      <c r="I25" s="16">
        <f t="shared" si="0"/>
        <v>1050</v>
      </c>
    </row>
    <row r="26" spans="2:9">
      <c r="B26" t="s">
        <v>18</v>
      </c>
      <c r="C26" s="12">
        <v>40</v>
      </c>
      <c r="D26" s="12">
        <v>55</v>
      </c>
      <c r="E26" s="13">
        <v>500</v>
      </c>
      <c r="F26" s="13">
        <v>27500</v>
      </c>
      <c r="G26" s="13">
        <v>2500</v>
      </c>
      <c r="I26" s="16">
        <f t="shared" si="0"/>
        <v>34375</v>
      </c>
    </row>
    <row r="27" spans="2:9">
      <c r="B27" t="s">
        <v>80</v>
      </c>
      <c r="C27" s="12">
        <v>25</v>
      </c>
      <c r="D27" s="12">
        <v>35</v>
      </c>
      <c r="E27" s="13">
        <v>30</v>
      </c>
      <c r="F27" s="13">
        <v>1050</v>
      </c>
      <c r="G27" s="13">
        <v>90</v>
      </c>
      <c r="I27" s="16">
        <f t="shared" si="0"/>
        <v>1312.5</v>
      </c>
    </row>
    <row r="28" spans="2:9">
      <c r="B28" t="s">
        <v>66</v>
      </c>
      <c r="C28" s="12">
        <v>25</v>
      </c>
      <c r="D28" s="12">
        <v>37</v>
      </c>
      <c r="E28" s="13">
        <v>200</v>
      </c>
      <c r="F28" s="13">
        <v>7400</v>
      </c>
      <c r="G28" s="13">
        <v>1000</v>
      </c>
      <c r="I28" s="16">
        <f t="shared" si="0"/>
        <v>9250</v>
      </c>
    </row>
    <row r="29" spans="2:9">
      <c r="B29" t="s">
        <v>82</v>
      </c>
      <c r="C29" s="12">
        <v>50</v>
      </c>
      <c r="D29" s="12">
        <v>70</v>
      </c>
      <c r="E29" s="13">
        <v>10</v>
      </c>
      <c r="F29" s="13">
        <v>700</v>
      </c>
      <c r="G29" s="13">
        <v>80</v>
      </c>
      <c r="I29" s="16">
        <f t="shared" si="0"/>
        <v>875</v>
      </c>
    </row>
    <row r="30" spans="2:9">
      <c r="B30" t="s">
        <v>76</v>
      </c>
      <c r="C30" s="12">
        <v>40</v>
      </c>
      <c r="D30" s="12">
        <v>58</v>
      </c>
      <c r="E30" s="13">
        <v>80</v>
      </c>
      <c r="F30" s="13">
        <v>4640</v>
      </c>
      <c r="G30" s="13">
        <v>720</v>
      </c>
      <c r="I30" s="16">
        <f t="shared" si="0"/>
        <v>5800</v>
      </c>
    </row>
    <row r="31" spans="2:9">
      <c r="B31" t="s">
        <v>48</v>
      </c>
      <c r="C31" s="12">
        <v>40</v>
      </c>
      <c r="D31" s="12">
        <v>60</v>
      </c>
      <c r="E31" s="13">
        <v>25</v>
      </c>
      <c r="F31" s="13">
        <v>1500</v>
      </c>
      <c r="G31" s="13">
        <v>200</v>
      </c>
      <c r="I31" s="16">
        <f t="shared" si="0"/>
        <v>1875</v>
      </c>
    </row>
    <row r="32" spans="2:9">
      <c r="B32" t="s">
        <v>74</v>
      </c>
      <c r="C32" s="12">
        <v>35</v>
      </c>
      <c r="D32" s="12">
        <v>50</v>
      </c>
      <c r="E32" s="13">
        <v>100</v>
      </c>
      <c r="F32" s="13">
        <v>5000</v>
      </c>
      <c r="G32" s="13">
        <v>600</v>
      </c>
      <c r="I32" s="16">
        <f t="shared" si="0"/>
        <v>6250</v>
      </c>
    </row>
    <row r="33" spans="2:13">
      <c r="B33" t="s">
        <v>92</v>
      </c>
      <c r="C33" s="12">
        <v>25</v>
      </c>
      <c r="D33" s="12">
        <v>35</v>
      </c>
      <c r="E33" s="13">
        <v>5</v>
      </c>
      <c r="F33" s="13">
        <v>175</v>
      </c>
      <c r="G33" s="13">
        <v>20</v>
      </c>
      <c r="I33" s="16">
        <f t="shared" si="0"/>
        <v>218.75</v>
      </c>
    </row>
    <row r="34" spans="2:13">
      <c r="B34" t="s">
        <v>68</v>
      </c>
      <c r="C34" s="12">
        <v>50</v>
      </c>
      <c r="D34" s="12">
        <v>72</v>
      </c>
      <c r="E34" s="13">
        <v>80</v>
      </c>
      <c r="F34" s="13">
        <v>5760</v>
      </c>
      <c r="G34" s="13">
        <v>880</v>
      </c>
      <c r="I34" s="16">
        <f t="shared" si="0"/>
        <v>7200</v>
      </c>
    </row>
    <row r="35" spans="2:13">
      <c r="B35" t="s">
        <v>32</v>
      </c>
      <c r="C35" s="12">
        <v>55</v>
      </c>
      <c r="D35" s="12">
        <v>77</v>
      </c>
      <c r="E35" s="13">
        <v>150</v>
      </c>
      <c r="F35" s="13">
        <v>11550</v>
      </c>
      <c r="G35" s="13">
        <v>1800</v>
      </c>
      <c r="I35" s="16">
        <f t="shared" si="0"/>
        <v>14437.5</v>
      </c>
    </row>
    <row r="36" spans="2:13">
      <c r="B36" t="s">
        <v>27</v>
      </c>
      <c r="C36" s="12">
        <v>70</v>
      </c>
      <c r="D36" s="12">
        <v>100</v>
      </c>
      <c r="E36" s="13">
        <v>900</v>
      </c>
      <c r="F36" s="13">
        <v>90000</v>
      </c>
      <c r="G36" s="13">
        <v>18000</v>
      </c>
      <c r="I36" s="16">
        <f t="shared" si="0"/>
        <v>112500</v>
      </c>
    </row>
    <row r="37" spans="2:13">
      <c r="B37" t="s">
        <v>70</v>
      </c>
      <c r="C37" s="12">
        <v>45</v>
      </c>
      <c r="D37" s="12">
        <v>65</v>
      </c>
      <c r="E37" s="13">
        <v>120</v>
      </c>
      <c r="F37" s="13">
        <v>7800</v>
      </c>
      <c r="G37" s="13">
        <v>960</v>
      </c>
      <c r="I37" s="16">
        <f t="shared" si="0"/>
        <v>9750</v>
      </c>
    </row>
    <row r="38" spans="2:13">
      <c r="B38" t="s">
        <v>30</v>
      </c>
      <c r="C38" s="12">
        <v>45</v>
      </c>
      <c r="D38" s="12">
        <v>63</v>
      </c>
      <c r="E38" s="13">
        <v>700</v>
      </c>
      <c r="F38" s="13">
        <v>44100</v>
      </c>
      <c r="G38" s="13">
        <v>5600</v>
      </c>
      <c r="I38" s="16">
        <f t="shared" si="0"/>
        <v>55125</v>
      </c>
    </row>
    <row r="39" spans="2:13">
      <c r="B39" t="s">
        <v>84</v>
      </c>
      <c r="C39" s="12">
        <v>40</v>
      </c>
      <c r="D39" s="12">
        <v>55</v>
      </c>
      <c r="E39" s="13">
        <v>5</v>
      </c>
      <c r="F39" s="13">
        <v>275</v>
      </c>
      <c r="G39" s="13">
        <v>25</v>
      </c>
      <c r="I39" s="16">
        <f t="shared" si="0"/>
        <v>343.75</v>
      </c>
    </row>
    <row r="40" spans="2:13">
      <c r="B40" t="s">
        <v>44</v>
      </c>
      <c r="C40" s="12">
        <v>50</v>
      </c>
      <c r="D40" s="12">
        <v>75</v>
      </c>
      <c r="E40" s="13">
        <v>20</v>
      </c>
      <c r="F40" s="13">
        <v>1500</v>
      </c>
      <c r="G40" s="13">
        <v>240</v>
      </c>
      <c r="I40" s="16">
        <f t="shared" si="0"/>
        <v>1875</v>
      </c>
      <c r="K40" s="18"/>
      <c r="L40" s="22" t="s">
        <v>121</v>
      </c>
      <c r="M40" s="18" t="s">
        <v>122</v>
      </c>
    </row>
    <row r="41" spans="2:13">
      <c r="B41" t="s">
        <v>98</v>
      </c>
      <c r="C41" s="12">
        <v>35</v>
      </c>
      <c r="D41" s="12">
        <v>47</v>
      </c>
      <c r="E41" s="13">
        <v>15</v>
      </c>
      <c r="F41" s="13">
        <v>705</v>
      </c>
      <c r="G41" s="13">
        <v>60</v>
      </c>
      <c r="I41" s="16">
        <f t="shared" si="0"/>
        <v>881.25</v>
      </c>
      <c r="K41" t="s">
        <v>123</v>
      </c>
      <c r="L41" s="23">
        <f>F49-G49</f>
        <v>361960</v>
      </c>
      <c r="M41" s="13">
        <f>I49-G49</f>
        <v>468034.75</v>
      </c>
    </row>
    <row r="42" spans="2:13">
      <c r="B42" t="s">
        <v>102</v>
      </c>
      <c r="C42" s="12">
        <v>20</v>
      </c>
      <c r="D42" s="12">
        <v>30</v>
      </c>
      <c r="E42" s="13">
        <v>15</v>
      </c>
      <c r="F42" s="13">
        <v>450</v>
      </c>
      <c r="G42" s="13">
        <v>60</v>
      </c>
      <c r="I42" s="16">
        <f t="shared" si="0"/>
        <v>562.5</v>
      </c>
    </row>
    <row r="43" spans="2:13">
      <c r="B43" t="s">
        <v>108</v>
      </c>
      <c r="C43" s="12">
        <v>50</v>
      </c>
      <c r="D43" s="12">
        <v>70</v>
      </c>
      <c r="E43" s="13">
        <v>8</v>
      </c>
      <c r="F43" s="13">
        <v>560</v>
      </c>
      <c r="G43" s="13">
        <v>72</v>
      </c>
      <c r="I43" s="16">
        <f t="shared" si="0"/>
        <v>700</v>
      </c>
      <c r="L43" s="21" t="s">
        <v>124</v>
      </c>
      <c r="M43" s="18" t="s">
        <v>125</v>
      </c>
    </row>
    <row r="44" spans="2:13">
      <c r="B44" t="s">
        <v>38</v>
      </c>
      <c r="C44" s="12">
        <v>40</v>
      </c>
      <c r="D44" s="12">
        <v>60</v>
      </c>
      <c r="E44" s="13">
        <v>60</v>
      </c>
      <c r="F44" s="13">
        <v>3600</v>
      </c>
      <c r="G44" s="13">
        <v>600</v>
      </c>
      <c r="I44" s="16">
        <f t="shared" si="0"/>
        <v>4500</v>
      </c>
      <c r="K44" s="18"/>
      <c r="L44" s="27">
        <f>M41-G49</f>
        <v>405695.75</v>
      </c>
      <c r="M44" s="25">
        <f>_xlfn.PERCENTOF(M41, I49)</f>
        <v>0.88246213165715681</v>
      </c>
    </row>
    <row r="45" spans="2:13">
      <c r="B45" t="s">
        <v>88</v>
      </c>
      <c r="C45" s="12">
        <v>20</v>
      </c>
      <c r="D45" s="12">
        <v>28</v>
      </c>
      <c r="E45" s="13">
        <v>20</v>
      </c>
      <c r="F45" s="13">
        <v>560</v>
      </c>
      <c r="G45" s="13">
        <v>60</v>
      </c>
      <c r="I45" s="16">
        <f t="shared" si="0"/>
        <v>700</v>
      </c>
      <c r="K45" t="s">
        <v>126</v>
      </c>
      <c r="L45" s="24" t="s">
        <v>127</v>
      </c>
      <c r="M45" s="19">
        <f>_xlfn.PERCENTOF(G49, I49)</f>
        <v>0.11753786834284313</v>
      </c>
    </row>
    <row r="46" spans="2:13">
      <c r="B46" t="s">
        <v>106</v>
      </c>
      <c r="C46" s="12">
        <v>40</v>
      </c>
      <c r="D46" s="12">
        <v>58</v>
      </c>
      <c r="E46" s="13">
        <v>30</v>
      </c>
      <c r="F46" s="13">
        <v>1740</v>
      </c>
      <c r="G46" s="13">
        <v>210</v>
      </c>
      <c r="I46" s="16">
        <f t="shared" si="0"/>
        <v>2175</v>
      </c>
    </row>
    <row r="47" spans="2:13">
      <c r="B47" t="s">
        <v>36</v>
      </c>
      <c r="C47" s="12">
        <v>35</v>
      </c>
      <c r="D47" s="12">
        <v>50</v>
      </c>
      <c r="E47" s="13">
        <v>80</v>
      </c>
      <c r="F47" s="13">
        <v>4000</v>
      </c>
      <c r="G47" s="13">
        <v>560</v>
      </c>
      <c r="I47" s="16">
        <f t="shared" si="0"/>
        <v>5000</v>
      </c>
      <c r="L47" s="26" t="s">
        <v>128</v>
      </c>
      <c r="M47" s="18" t="s">
        <v>125</v>
      </c>
    </row>
    <row r="48" spans="2:13">
      <c r="B48" t="s">
        <v>50</v>
      </c>
      <c r="C48" s="12">
        <v>35</v>
      </c>
      <c r="D48" s="12">
        <v>50</v>
      </c>
      <c r="E48" s="13">
        <v>40</v>
      </c>
      <c r="F48" s="13">
        <v>2000</v>
      </c>
      <c r="G48" s="13">
        <v>200</v>
      </c>
      <c r="I48" s="16">
        <f t="shared" si="0"/>
        <v>2500</v>
      </c>
      <c r="K48" s="18"/>
      <c r="L48" s="28"/>
      <c r="M48" s="25">
        <f>_xlfn.PERCENTOF(L41, F49)</f>
        <v>0.85307766457144607</v>
      </c>
    </row>
    <row r="49" spans="2:13">
      <c r="B49" t="s">
        <v>115</v>
      </c>
      <c r="C49" s="12">
        <v>1655</v>
      </c>
      <c r="D49" s="12">
        <v>2362</v>
      </c>
      <c r="E49" s="13">
        <v>7166</v>
      </c>
      <c r="F49" s="13">
        <v>424299</v>
      </c>
      <c r="G49" s="13">
        <v>62339</v>
      </c>
      <c r="I49" s="17">
        <f>SUM(I3:I48)</f>
        <v>530373.75</v>
      </c>
      <c r="K49" t="s">
        <v>126</v>
      </c>
      <c r="L49" s="24" t="s">
        <v>127</v>
      </c>
      <c r="M49" s="19">
        <f>_xlfn.PERCENTOF(G49, F49)</f>
        <v>0.14692233542855393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E49C-25BE-4036-8C7B-5E3475ADB121}">
  <dimension ref="B2:E13"/>
  <sheetViews>
    <sheetView topLeftCell="B1" workbookViewId="0">
      <selection activeCell="F16" sqref="F16"/>
    </sheetView>
  </sheetViews>
  <sheetFormatPr defaultRowHeight="15"/>
  <cols>
    <col min="2" max="2" width="25" bestFit="1" customWidth="1"/>
    <col min="3" max="3" width="20.7109375" bestFit="1" customWidth="1"/>
    <col min="4" max="4" width="27" bestFit="1" customWidth="1"/>
    <col min="5" max="5" width="20.7109375" bestFit="1" customWidth="1"/>
  </cols>
  <sheetData>
    <row r="2" spans="2:5">
      <c r="B2" s="11" t="s">
        <v>3</v>
      </c>
      <c r="C2" t="s">
        <v>118</v>
      </c>
      <c r="D2" t="s">
        <v>116</v>
      </c>
      <c r="E2" t="s">
        <v>129</v>
      </c>
    </row>
    <row r="3" spans="2:5">
      <c r="B3" t="s">
        <v>100</v>
      </c>
      <c r="C3" s="12">
        <v>33</v>
      </c>
      <c r="D3" s="12">
        <v>3</v>
      </c>
      <c r="E3" s="12">
        <v>28</v>
      </c>
    </row>
    <row r="4" spans="2:5">
      <c r="B4" t="s">
        <v>86</v>
      </c>
      <c r="C4" s="12">
        <v>42</v>
      </c>
      <c r="D4" s="12">
        <v>4</v>
      </c>
      <c r="E4" s="12">
        <v>34</v>
      </c>
    </row>
    <row r="5" spans="2:5">
      <c r="B5" t="s">
        <v>64</v>
      </c>
      <c r="C5" s="12">
        <v>45</v>
      </c>
      <c r="D5" s="12">
        <v>7</v>
      </c>
      <c r="E5" s="12">
        <v>38</v>
      </c>
    </row>
    <row r="6" spans="2:5">
      <c r="B6" t="s">
        <v>78</v>
      </c>
      <c r="C6" s="12">
        <v>42</v>
      </c>
      <c r="D6" s="12">
        <v>4</v>
      </c>
      <c r="E6" s="12">
        <v>34</v>
      </c>
    </row>
    <row r="7" spans="2:5">
      <c r="B7" t="s">
        <v>40</v>
      </c>
      <c r="C7" s="12">
        <v>28</v>
      </c>
      <c r="D7" s="12">
        <v>3</v>
      </c>
      <c r="E7" s="12">
        <v>25</v>
      </c>
    </row>
    <row r="8" spans="2:5">
      <c r="B8" t="s">
        <v>42</v>
      </c>
      <c r="C8" s="12">
        <v>45</v>
      </c>
      <c r="D8" s="12">
        <v>7</v>
      </c>
      <c r="E8" s="12">
        <v>38</v>
      </c>
    </row>
    <row r="9" spans="2:5">
      <c r="B9" t="s">
        <v>46</v>
      </c>
      <c r="C9" s="12">
        <v>90</v>
      </c>
      <c r="D9" s="12">
        <v>15</v>
      </c>
      <c r="E9" s="12">
        <v>75</v>
      </c>
    </row>
    <row r="10" spans="2:5">
      <c r="B10" t="s">
        <v>90</v>
      </c>
      <c r="C10" s="12">
        <v>21</v>
      </c>
      <c r="D10" s="12">
        <v>2</v>
      </c>
      <c r="E10" s="12">
        <v>17</v>
      </c>
    </row>
    <row r="11" spans="2:5">
      <c r="B11" t="s">
        <v>34</v>
      </c>
      <c r="C11" s="12">
        <v>37</v>
      </c>
      <c r="D11" s="12">
        <v>5</v>
      </c>
      <c r="E11" s="12">
        <v>32</v>
      </c>
    </row>
    <row r="12" spans="2:5">
      <c r="B12" t="s">
        <v>58</v>
      </c>
      <c r="C12" s="12">
        <v>21</v>
      </c>
      <c r="D12" s="12">
        <v>2</v>
      </c>
      <c r="E12" s="12">
        <v>19</v>
      </c>
    </row>
    <row r="13" spans="2:5">
      <c r="B13" t="s">
        <v>115</v>
      </c>
      <c r="C13" s="12">
        <v>404</v>
      </c>
      <c r="D13" s="12">
        <v>52</v>
      </c>
      <c r="E13" s="12">
        <v>340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Seemanto Saha</dc:creator>
  <cp:keywords/>
  <dc:description/>
  <cp:lastModifiedBy/>
  <cp:revision/>
  <dcterms:created xsi:type="dcterms:W3CDTF">2024-02-19T11:46:38Z</dcterms:created>
  <dcterms:modified xsi:type="dcterms:W3CDTF">2026-10-05T10:45:01Z</dcterms:modified>
  <cp:category/>
  <cp:contentStatus/>
</cp:coreProperties>
</file>